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xampp2\htdocs\trazabilidadaprendices\"/>
    </mc:Choice>
  </mc:AlternateContent>
  <xr:revisionPtr revIDLastSave="0" documentId="8_{7C2F8C88-29F8-4BD8-A6D6-746BF1A549DA}" xr6:coauthVersionLast="47" xr6:coauthVersionMax="47" xr10:uidLastSave="{00000000-0000-0000-0000-000000000000}"/>
  <bookViews>
    <workbookView xWindow="-120" yWindow="-120" windowWidth="20730" windowHeight="11040" xr2:uid="{00000000-000D-0000-FFFF-FFFF00000000}"/>
  </bookViews>
  <sheets>
    <sheet name="Matriz" sheetId="1" r:id="rId1"/>
    <sheet name="Articulacion" sheetId="2" r:id="rId2"/>
  </sheets>
  <definedNames>
    <definedName name="_xlnm._FilterDatabase" localSheetId="0" hidden="1">Matriz!$A$2:$AY$98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4" i="1" l="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3" i="1"/>
  <c r="W97" i="1"/>
  <c r="W100" i="1" s="1"/>
  <c r="X97" i="1"/>
  <c r="X100" i="1" s="1"/>
  <c r="Y97" i="1"/>
  <c r="Z97" i="1"/>
  <c r="AA97" i="1"/>
  <c r="AB97" i="1"/>
  <c r="AC97" i="1"/>
  <c r="AD97" i="1"/>
  <c r="AE97" i="1"/>
  <c r="AF97" i="1"/>
  <c r="AG97" i="1"/>
  <c r="AH97" i="1"/>
  <c r="AI97" i="1"/>
  <c r="AJ97" i="1"/>
  <c r="AK97" i="1"/>
  <c r="AL97" i="1"/>
  <c r="AM97" i="1"/>
  <c r="AN97" i="1"/>
  <c r="AO97" i="1"/>
  <c r="AP97" i="1"/>
  <c r="AQ97" i="1"/>
  <c r="AR97" i="1"/>
  <c r="AR100" i="1" s="1"/>
  <c r="AS97" i="1"/>
  <c r="AT97" i="1"/>
  <c r="AU97" i="1"/>
  <c r="AV97" i="1"/>
  <c r="AV100" i="1" s="1"/>
  <c r="AW97" i="1"/>
  <c r="AN100" i="1"/>
  <c r="AJ100" i="1"/>
  <c r="AX98" i="1"/>
  <c r="AY98" i="1" s="1"/>
  <c r="Y100" i="1"/>
  <c r="AA100" i="1"/>
  <c r="AB100" i="1"/>
  <c r="AC100" i="1"/>
  <c r="AD100" i="1"/>
  <c r="AF100" i="1"/>
  <c r="AG100" i="1"/>
  <c r="AI100" i="1"/>
  <c r="AK100" i="1"/>
  <c r="AL100" i="1"/>
  <c r="AM100" i="1"/>
  <c r="AO100" i="1"/>
  <c r="AP100" i="1"/>
  <c r="AQ100" i="1"/>
  <c r="AS100" i="1"/>
  <c r="AT100" i="1"/>
  <c r="AU100" i="1"/>
  <c r="AW100" i="1"/>
  <c r="Z100" i="1"/>
  <c r="AE100" i="1"/>
  <c r="AH100" i="1"/>
  <c r="U65" i="1"/>
  <c r="AY65" i="1" s="1"/>
  <c r="T65" i="1" a="1"/>
  <c r="S65" i="1" a="1"/>
  <c r="R65" i="1" a="1"/>
  <c r="Q65" i="1" a="1"/>
  <c r="P65" i="1" a="1"/>
  <c r="O65" i="1" a="1"/>
  <c r="N65" i="1" a="1"/>
  <c r="M65" i="1" a="1"/>
  <c r="L65" i="1" a="1"/>
  <c r="K65" i="1" a="1"/>
  <c r="J65" i="1" a="1"/>
  <c r="U18" i="1"/>
  <c r="AY18" i="1" s="1"/>
  <c r="T18" i="1" a="1"/>
  <c r="S18" i="1" a="1"/>
  <c r="R18" i="1" a="1"/>
  <c r="Q18" i="1" a="1"/>
  <c r="P18" i="1" a="1"/>
  <c r="O18" i="1" a="1"/>
  <c r="N18" i="1" a="1"/>
  <c r="M18" i="1" a="1"/>
  <c r="L18" i="1" a="1"/>
  <c r="K18" i="1" a="1"/>
  <c r="J18" i="1" a="1"/>
  <c r="U15" i="1"/>
  <c r="AY15" i="1" s="1"/>
  <c r="T15" i="1" a="1"/>
  <c r="S15" i="1" a="1"/>
  <c r="R15" i="1" a="1"/>
  <c r="Q15" i="1" a="1"/>
  <c r="P15" i="1" a="1"/>
  <c r="O15" i="1" a="1"/>
  <c r="N15" i="1" a="1"/>
  <c r="M15" i="1" a="1"/>
  <c r="L15" i="1" a="1"/>
  <c r="K15" i="1" a="1"/>
  <c r="J15" i="1" a="1"/>
  <c r="U16" i="1"/>
  <c r="AY16" i="1" s="1"/>
  <c r="T16" i="1" a="1"/>
  <c r="S16" i="1" a="1"/>
  <c r="R16" i="1" a="1"/>
  <c r="Q16" i="1" a="1"/>
  <c r="P16" i="1" a="1"/>
  <c r="O16" i="1" a="1"/>
  <c r="N16" i="1" a="1"/>
  <c r="M16" i="1" a="1"/>
  <c r="L16" i="1" a="1"/>
  <c r="K16" i="1" a="1"/>
  <c r="J16" i="1" a="1"/>
  <c r="U42" i="1"/>
  <c r="AY42" i="1" s="1"/>
  <c r="T42" i="1" a="1"/>
  <c r="S42" i="1" a="1"/>
  <c r="R42" i="1" a="1"/>
  <c r="Q42" i="1" a="1"/>
  <c r="P42" i="1" a="1"/>
  <c r="O42" i="1" a="1"/>
  <c r="N42" i="1" a="1"/>
  <c r="M42" i="1" a="1"/>
  <c r="L42" i="1" a="1"/>
  <c r="K42" i="1" a="1"/>
  <c r="J42" i="1" a="1"/>
  <c r="U89" i="1"/>
  <c r="AY89" i="1" s="1"/>
  <c r="T89" i="1" a="1"/>
  <c r="S89" i="1" a="1"/>
  <c r="R89" i="1" a="1"/>
  <c r="Q89" i="1" a="1"/>
  <c r="P89" i="1" a="1"/>
  <c r="O89" i="1" a="1"/>
  <c r="N89" i="1" a="1"/>
  <c r="M89" i="1" a="1"/>
  <c r="L89" i="1" a="1"/>
  <c r="K89" i="1" a="1"/>
  <c r="J89" i="1" a="1"/>
  <c r="U95" i="1"/>
  <c r="AY95" i="1" s="1"/>
  <c r="T95" i="1" a="1"/>
  <c r="S95" i="1" a="1"/>
  <c r="R95" i="1" a="1"/>
  <c r="Q95" i="1" a="1"/>
  <c r="P95" i="1" a="1"/>
  <c r="O95" i="1" a="1"/>
  <c r="N95" i="1" a="1"/>
  <c r="M95" i="1" a="1"/>
  <c r="L95" i="1" a="1"/>
  <c r="K95" i="1" a="1"/>
  <c r="J95" i="1" a="1"/>
  <c r="U27" i="1"/>
  <c r="AY27" i="1" s="1"/>
  <c r="T27" i="1" a="1"/>
  <c r="S27" i="1" a="1"/>
  <c r="R27" i="1" a="1"/>
  <c r="Q27" i="1" a="1"/>
  <c r="P27" i="1" a="1"/>
  <c r="O27" i="1" a="1"/>
  <c r="N27" i="1" a="1"/>
  <c r="M27" i="1" a="1"/>
  <c r="L27" i="1" a="1"/>
  <c r="K27" i="1" a="1"/>
  <c r="J27" i="1" a="1"/>
  <c r="U74" i="1"/>
  <c r="AY74" i="1" s="1"/>
  <c r="T74" i="1" a="1"/>
  <c r="S74" i="1" a="1"/>
  <c r="R74" i="1" a="1"/>
  <c r="Q74" i="1" a="1"/>
  <c r="P74" i="1" a="1"/>
  <c r="O74" i="1" a="1"/>
  <c r="N74" i="1" a="1"/>
  <c r="M74" i="1" a="1"/>
  <c r="L74" i="1" a="1"/>
  <c r="K74" i="1" a="1"/>
  <c r="J74" i="1" a="1"/>
  <c r="U71" i="1"/>
  <c r="AY71" i="1" s="1"/>
  <c r="T71" i="1" a="1"/>
  <c r="S71" i="1" a="1"/>
  <c r="R71" i="1" a="1"/>
  <c r="Q71" i="1" a="1"/>
  <c r="P71" i="1" a="1"/>
  <c r="O71" i="1" a="1"/>
  <c r="N71" i="1" a="1"/>
  <c r="M71" i="1" a="1"/>
  <c r="L71" i="1" a="1"/>
  <c r="K71" i="1" a="1"/>
  <c r="J71" i="1" a="1"/>
  <c r="U4" i="1"/>
  <c r="AY4" i="1" s="1"/>
  <c r="T4" i="1" a="1"/>
  <c r="S4" i="1" a="1"/>
  <c r="R4" i="1" a="1"/>
  <c r="Q4" i="1" a="1"/>
  <c r="P4" i="1" a="1"/>
  <c r="O4" i="1" a="1"/>
  <c r="N4" i="1" a="1"/>
  <c r="M4" i="1" a="1"/>
  <c r="L4" i="1" a="1"/>
  <c r="K4" i="1" a="1"/>
  <c r="J4" i="1" a="1"/>
  <c r="U5" i="1"/>
  <c r="AY5" i="1" s="1"/>
  <c r="T5" i="1" a="1"/>
  <c r="S5" i="1" a="1"/>
  <c r="R5" i="1" a="1"/>
  <c r="Q5" i="1" a="1"/>
  <c r="P5" i="1" a="1"/>
  <c r="O5" i="1" a="1"/>
  <c r="N5" i="1" a="1"/>
  <c r="M5" i="1" a="1"/>
  <c r="L5" i="1" a="1"/>
  <c r="K5" i="1" a="1"/>
  <c r="J5" i="1" a="1"/>
  <c r="U6" i="1"/>
  <c r="AY6" i="1" s="1"/>
  <c r="T6" i="1" a="1"/>
  <c r="S6" i="1" a="1"/>
  <c r="R6" i="1" a="1"/>
  <c r="Q6" i="1" a="1"/>
  <c r="P6" i="1" a="1"/>
  <c r="O6" i="1" a="1"/>
  <c r="N6" i="1" a="1"/>
  <c r="M6" i="1" a="1"/>
  <c r="L6" i="1" a="1"/>
  <c r="K6" i="1" a="1"/>
  <c r="J6" i="1" a="1"/>
  <c r="T8" i="1" a="1"/>
  <c r="S8" i="1" a="1"/>
  <c r="R8" i="1" a="1"/>
  <c r="Q8" i="1" a="1"/>
  <c r="P8" i="1" a="1"/>
  <c r="O8" i="1" a="1"/>
  <c r="N8" i="1" a="1"/>
  <c r="M8" i="1" a="1"/>
  <c r="L8" i="1" a="1"/>
  <c r="K8" i="1" a="1"/>
  <c r="J8" i="1" a="1"/>
  <c r="U9" i="1"/>
  <c r="AY9" i="1" s="1"/>
  <c r="T9" i="1" a="1"/>
  <c r="S9" i="1" a="1"/>
  <c r="R9" i="1" a="1"/>
  <c r="Q9" i="1" a="1"/>
  <c r="P9" i="1" a="1"/>
  <c r="O9" i="1" a="1"/>
  <c r="N9" i="1" a="1"/>
  <c r="M9" i="1" a="1"/>
  <c r="L9" i="1" a="1"/>
  <c r="K9" i="1" a="1"/>
  <c r="J9" i="1" a="1"/>
  <c r="U10" i="1"/>
  <c r="AY10" i="1" s="1"/>
  <c r="T10" i="1" a="1"/>
  <c r="S10" i="1" a="1"/>
  <c r="R10" i="1" a="1"/>
  <c r="Q10" i="1" a="1"/>
  <c r="P10" i="1" a="1"/>
  <c r="O10" i="1" a="1"/>
  <c r="N10" i="1" a="1"/>
  <c r="M10" i="1" a="1"/>
  <c r="L10" i="1" a="1"/>
  <c r="K10" i="1" a="1"/>
  <c r="J10" i="1" a="1"/>
  <c r="U11" i="1"/>
  <c r="AY11" i="1" s="1"/>
  <c r="T11" i="1" a="1"/>
  <c r="S11" i="1" a="1"/>
  <c r="R11" i="1" a="1"/>
  <c r="Q11" i="1" a="1"/>
  <c r="P11" i="1" a="1"/>
  <c r="O11" i="1" a="1"/>
  <c r="N11" i="1" a="1"/>
  <c r="M11" i="1" a="1"/>
  <c r="L11" i="1" a="1"/>
  <c r="K11" i="1" a="1"/>
  <c r="J11" i="1" a="1"/>
  <c r="U13" i="1"/>
  <c r="AY13" i="1" s="1"/>
  <c r="T13" i="1" a="1"/>
  <c r="S13" i="1" a="1"/>
  <c r="R13" i="1" a="1"/>
  <c r="Q13" i="1" a="1"/>
  <c r="P13" i="1" a="1"/>
  <c r="O13" i="1" a="1"/>
  <c r="N13" i="1" a="1"/>
  <c r="M13" i="1" a="1"/>
  <c r="L13" i="1" a="1"/>
  <c r="K13" i="1" a="1"/>
  <c r="J13" i="1" a="1"/>
  <c r="U14" i="1"/>
  <c r="AY14" i="1" s="1"/>
  <c r="T14" i="1" a="1"/>
  <c r="S14" i="1" a="1"/>
  <c r="R14" i="1" a="1"/>
  <c r="Q14" i="1" a="1"/>
  <c r="P14" i="1" a="1"/>
  <c r="O14" i="1" a="1"/>
  <c r="N14" i="1" a="1"/>
  <c r="M14" i="1" a="1"/>
  <c r="L14" i="1" a="1"/>
  <c r="K14" i="1" a="1"/>
  <c r="J14" i="1" a="1"/>
  <c r="U17" i="1"/>
  <c r="AY17" i="1" s="1"/>
  <c r="T17" i="1" a="1"/>
  <c r="S17" i="1" a="1"/>
  <c r="R17" i="1" a="1"/>
  <c r="Q17" i="1" a="1"/>
  <c r="P17" i="1" a="1"/>
  <c r="O17" i="1" a="1"/>
  <c r="N17" i="1" a="1"/>
  <c r="M17" i="1" a="1"/>
  <c r="L17" i="1" a="1"/>
  <c r="K17" i="1" a="1"/>
  <c r="J17" i="1" a="1"/>
  <c r="T19" i="1" a="1"/>
  <c r="S19" i="1" a="1"/>
  <c r="R19" i="1" a="1"/>
  <c r="Q19" i="1" a="1"/>
  <c r="P19" i="1" a="1"/>
  <c r="O19" i="1" a="1"/>
  <c r="N19" i="1" a="1"/>
  <c r="M19" i="1" a="1"/>
  <c r="L19" i="1" a="1"/>
  <c r="K19" i="1" a="1"/>
  <c r="J19" i="1" a="1"/>
  <c r="U23" i="1"/>
  <c r="AY23" i="1" s="1"/>
  <c r="T23" i="1" a="1"/>
  <c r="S23" i="1" a="1"/>
  <c r="R23" i="1" a="1"/>
  <c r="Q23" i="1" a="1"/>
  <c r="P23" i="1" a="1"/>
  <c r="O23" i="1" a="1"/>
  <c r="N23" i="1" a="1"/>
  <c r="M23" i="1" a="1"/>
  <c r="L23" i="1" a="1"/>
  <c r="K23" i="1" a="1"/>
  <c r="J23" i="1" a="1"/>
  <c r="U22" i="1"/>
  <c r="AY22" i="1" s="1"/>
  <c r="T22" i="1" a="1"/>
  <c r="S22" i="1" a="1"/>
  <c r="R22" i="1" a="1"/>
  <c r="Q22" i="1" a="1"/>
  <c r="P22" i="1" a="1"/>
  <c r="O22" i="1" a="1"/>
  <c r="N22" i="1" a="1"/>
  <c r="M22" i="1" a="1"/>
  <c r="L22" i="1" a="1"/>
  <c r="K22" i="1" a="1"/>
  <c r="J22" i="1" a="1"/>
  <c r="T21" i="1" a="1"/>
  <c r="S21" i="1" a="1"/>
  <c r="R21" i="1" a="1"/>
  <c r="Q21" i="1" a="1"/>
  <c r="P21" i="1" a="1"/>
  <c r="O21" i="1" a="1"/>
  <c r="N21" i="1" a="1"/>
  <c r="M21" i="1" a="1"/>
  <c r="L21" i="1" a="1"/>
  <c r="K21" i="1" a="1"/>
  <c r="J21" i="1" a="1"/>
  <c r="U25" i="1"/>
  <c r="AY25" i="1" s="1"/>
  <c r="T25" i="1" a="1"/>
  <c r="S25" i="1" a="1"/>
  <c r="R25" i="1" a="1"/>
  <c r="Q25" i="1" a="1"/>
  <c r="P25" i="1" a="1"/>
  <c r="O25" i="1" a="1"/>
  <c r="N25" i="1" a="1"/>
  <c r="M25" i="1" a="1"/>
  <c r="L25" i="1" a="1"/>
  <c r="K25" i="1" a="1"/>
  <c r="J25" i="1" a="1"/>
  <c r="U26" i="1"/>
  <c r="AY26" i="1" s="1"/>
  <c r="T26" i="1" a="1"/>
  <c r="S26" i="1" a="1"/>
  <c r="R26" i="1" a="1"/>
  <c r="Q26" i="1" a="1"/>
  <c r="P26" i="1" a="1"/>
  <c r="O26" i="1" a="1"/>
  <c r="N26" i="1" a="1"/>
  <c r="M26" i="1" a="1"/>
  <c r="L26" i="1" a="1"/>
  <c r="K26" i="1" a="1"/>
  <c r="J26" i="1" a="1"/>
  <c r="U28" i="1"/>
  <c r="AY28" i="1" s="1"/>
  <c r="T28" i="1" a="1"/>
  <c r="S28" i="1" a="1"/>
  <c r="R28" i="1" a="1"/>
  <c r="Q28" i="1" a="1"/>
  <c r="P28" i="1" a="1"/>
  <c r="O28" i="1" a="1"/>
  <c r="N28" i="1" a="1"/>
  <c r="M28" i="1" a="1"/>
  <c r="L28" i="1" a="1"/>
  <c r="K28" i="1" a="1"/>
  <c r="J28" i="1" a="1"/>
  <c r="U78" i="1"/>
  <c r="AY78" i="1" s="1"/>
  <c r="T78" i="1" a="1"/>
  <c r="S78" i="1" a="1"/>
  <c r="R78" i="1" a="1"/>
  <c r="Q78" i="1" a="1"/>
  <c r="P78" i="1" a="1"/>
  <c r="O78" i="1" a="1"/>
  <c r="N78" i="1" a="1"/>
  <c r="M78" i="1" a="1"/>
  <c r="L78" i="1" a="1"/>
  <c r="K78" i="1" a="1"/>
  <c r="J78" i="1" a="1"/>
  <c r="U29" i="1"/>
  <c r="AY29" i="1" s="1"/>
  <c r="T29" i="1" a="1"/>
  <c r="S29" i="1" a="1"/>
  <c r="R29" i="1" a="1"/>
  <c r="Q29" i="1" a="1"/>
  <c r="P29" i="1" a="1"/>
  <c r="O29" i="1" a="1"/>
  <c r="N29" i="1" a="1"/>
  <c r="M29" i="1" a="1"/>
  <c r="L29" i="1" a="1"/>
  <c r="K29" i="1" a="1"/>
  <c r="J29" i="1" a="1"/>
  <c r="U51" i="1"/>
  <c r="AY51" i="1" s="1"/>
  <c r="T51" i="1" a="1"/>
  <c r="S51" i="1" a="1"/>
  <c r="R51" i="1" a="1"/>
  <c r="Q51" i="1" a="1"/>
  <c r="P51" i="1" a="1"/>
  <c r="O51" i="1" a="1"/>
  <c r="N51" i="1" a="1"/>
  <c r="M51" i="1" a="1"/>
  <c r="L51" i="1" a="1"/>
  <c r="K51" i="1" a="1"/>
  <c r="J51" i="1" a="1"/>
  <c r="T32" i="1" a="1"/>
  <c r="S32" i="1" a="1"/>
  <c r="R32" i="1" a="1"/>
  <c r="Q32" i="1" a="1"/>
  <c r="P32" i="1" a="1"/>
  <c r="O32" i="1" a="1"/>
  <c r="N32" i="1" a="1"/>
  <c r="M32" i="1" a="1"/>
  <c r="L32" i="1" a="1"/>
  <c r="K32" i="1" a="1"/>
  <c r="J32" i="1" a="1"/>
  <c r="U34" i="1"/>
  <c r="AY34" i="1" s="1"/>
  <c r="T34" i="1" a="1"/>
  <c r="S34" i="1" a="1"/>
  <c r="R34" i="1" a="1"/>
  <c r="Q34" i="1" a="1"/>
  <c r="P34" i="1" a="1"/>
  <c r="O34" i="1" a="1"/>
  <c r="N34" i="1" a="1"/>
  <c r="M34" i="1" a="1"/>
  <c r="L34" i="1" a="1"/>
  <c r="K34" i="1" a="1"/>
  <c r="J34" i="1" a="1"/>
  <c r="U35" i="1"/>
  <c r="AY35" i="1" s="1"/>
  <c r="T35" i="1" a="1"/>
  <c r="S35" i="1" a="1"/>
  <c r="R35" i="1" a="1"/>
  <c r="Q35" i="1" a="1"/>
  <c r="P35" i="1" a="1"/>
  <c r="O35" i="1" a="1"/>
  <c r="N35" i="1" a="1"/>
  <c r="M35" i="1" a="1"/>
  <c r="L35" i="1" a="1"/>
  <c r="K35" i="1" a="1"/>
  <c r="J35" i="1" a="1"/>
  <c r="U44" i="1"/>
  <c r="AY44" i="1" s="1"/>
  <c r="T44" i="1" a="1"/>
  <c r="S44" i="1" a="1"/>
  <c r="R44" i="1" a="1"/>
  <c r="Q44" i="1" a="1"/>
  <c r="P44" i="1" a="1"/>
  <c r="O44" i="1" a="1"/>
  <c r="N44" i="1" a="1"/>
  <c r="M44" i="1" a="1"/>
  <c r="L44" i="1" a="1"/>
  <c r="K44" i="1" a="1"/>
  <c r="J44" i="1" a="1"/>
  <c r="U31" i="1"/>
  <c r="AY31" i="1" s="1"/>
  <c r="T31" i="1" a="1"/>
  <c r="S31" i="1" a="1"/>
  <c r="R31" i="1" a="1"/>
  <c r="Q31" i="1" a="1"/>
  <c r="P31" i="1" a="1"/>
  <c r="O31" i="1" a="1"/>
  <c r="N31" i="1" a="1"/>
  <c r="M31" i="1" a="1"/>
  <c r="L31" i="1" a="1"/>
  <c r="K31" i="1" a="1"/>
  <c r="J31" i="1" a="1"/>
  <c r="U45" i="1"/>
  <c r="AY45" i="1" s="1"/>
  <c r="T45" i="1" a="1"/>
  <c r="S45" i="1" a="1"/>
  <c r="R45" i="1" a="1"/>
  <c r="Q45" i="1" a="1"/>
  <c r="P45" i="1" a="1"/>
  <c r="O45" i="1" a="1"/>
  <c r="N45" i="1" a="1"/>
  <c r="M45" i="1" a="1"/>
  <c r="L45" i="1" a="1"/>
  <c r="K45" i="1" a="1"/>
  <c r="J45" i="1" a="1"/>
  <c r="U52" i="1"/>
  <c r="AY52" i="1" s="1"/>
  <c r="T52" i="1" a="1"/>
  <c r="S52" i="1" a="1"/>
  <c r="R52" i="1" a="1"/>
  <c r="Q52" i="1" a="1"/>
  <c r="P52" i="1" a="1"/>
  <c r="O52" i="1" a="1"/>
  <c r="N52" i="1" a="1"/>
  <c r="M52" i="1" a="1"/>
  <c r="L52" i="1" a="1"/>
  <c r="K52" i="1" a="1"/>
  <c r="J52" i="1" a="1"/>
  <c r="U63" i="1"/>
  <c r="AY63" i="1" s="1"/>
  <c r="T63" i="1" a="1"/>
  <c r="S63" i="1" a="1"/>
  <c r="R63" i="1" a="1"/>
  <c r="Q63" i="1" a="1"/>
  <c r="P63" i="1" a="1"/>
  <c r="O63" i="1" a="1"/>
  <c r="N63" i="1" a="1"/>
  <c r="M63" i="1" a="1"/>
  <c r="L63" i="1" a="1"/>
  <c r="K63" i="1" a="1"/>
  <c r="J63" i="1" a="1"/>
  <c r="T60" i="1" a="1"/>
  <c r="S60" i="1" a="1"/>
  <c r="R60" i="1" a="1"/>
  <c r="Q60" i="1" a="1"/>
  <c r="P60" i="1" a="1"/>
  <c r="O60" i="1" a="1"/>
  <c r="N60" i="1" a="1"/>
  <c r="M60" i="1" a="1"/>
  <c r="L60" i="1" a="1"/>
  <c r="K60" i="1" a="1"/>
  <c r="J60" i="1" a="1"/>
  <c r="U59" i="1"/>
  <c r="AY59" i="1" s="1"/>
  <c r="T59" i="1" a="1"/>
  <c r="S59" i="1" a="1"/>
  <c r="R59" i="1" a="1"/>
  <c r="Q59" i="1" a="1"/>
  <c r="P59" i="1" a="1"/>
  <c r="O59" i="1" a="1"/>
  <c r="N59" i="1" a="1"/>
  <c r="M59" i="1" a="1"/>
  <c r="L59" i="1" a="1"/>
  <c r="K59" i="1" a="1"/>
  <c r="J59" i="1" a="1"/>
  <c r="U57" i="1"/>
  <c r="AY57" i="1" s="1"/>
  <c r="T57" i="1" a="1"/>
  <c r="S57" i="1" a="1"/>
  <c r="R57" i="1" a="1"/>
  <c r="Q57" i="1" a="1"/>
  <c r="P57" i="1" a="1"/>
  <c r="O57" i="1" a="1"/>
  <c r="N57" i="1" a="1"/>
  <c r="M57" i="1" a="1"/>
  <c r="L57" i="1" a="1"/>
  <c r="K57" i="1" a="1"/>
  <c r="J57" i="1" a="1"/>
  <c r="U55" i="1"/>
  <c r="AY55" i="1" s="1"/>
  <c r="T55" i="1" a="1"/>
  <c r="S55" i="1" a="1"/>
  <c r="R55" i="1" a="1"/>
  <c r="Q55" i="1" a="1"/>
  <c r="P55" i="1" a="1"/>
  <c r="O55" i="1" a="1"/>
  <c r="N55" i="1" a="1"/>
  <c r="M55" i="1" a="1"/>
  <c r="L55" i="1" a="1"/>
  <c r="K55" i="1" a="1"/>
  <c r="J55" i="1" a="1"/>
  <c r="U56" i="1"/>
  <c r="AY56" i="1" s="1"/>
  <c r="T56" i="1" a="1"/>
  <c r="S56" i="1" a="1"/>
  <c r="R56" i="1" a="1"/>
  <c r="Q56" i="1" a="1"/>
  <c r="P56" i="1" a="1"/>
  <c r="O56" i="1" a="1"/>
  <c r="N56" i="1" a="1"/>
  <c r="M56" i="1" a="1"/>
  <c r="L56" i="1" a="1"/>
  <c r="K56" i="1" a="1"/>
  <c r="J56" i="1" a="1"/>
  <c r="T62" i="1" a="1"/>
  <c r="S62" i="1" a="1"/>
  <c r="R62" i="1" a="1"/>
  <c r="Q62" i="1" a="1"/>
  <c r="P62" i="1" a="1"/>
  <c r="O62" i="1" a="1"/>
  <c r="N62" i="1" a="1"/>
  <c r="M62" i="1" a="1"/>
  <c r="L62" i="1" a="1"/>
  <c r="K62" i="1" a="1"/>
  <c r="J62" i="1" a="1"/>
  <c r="T58" i="1" a="1"/>
  <c r="S58" i="1" a="1"/>
  <c r="R58" i="1" a="1"/>
  <c r="Q58" i="1" a="1"/>
  <c r="P58" i="1" a="1"/>
  <c r="O58" i="1" a="1"/>
  <c r="N58" i="1" a="1"/>
  <c r="M58" i="1" a="1"/>
  <c r="L58" i="1" a="1"/>
  <c r="K58" i="1" a="1"/>
  <c r="J58" i="1" a="1"/>
  <c r="U61" i="1"/>
  <c r="AY61" i="1" s="1"/>
  <c r="T61" i="1" a="1"/>
  <c r="S61" i="1" a="1"/>
  <c r="R61" i="1" a="1"/>
  <c r="Q61" i="1" a="1"/>
  <c r="P61" i="1" a="1"/>
  <c r="O61" i="1" a="1"/>
  <c r="N61" i="1" a="1"/>
  <c r="M61" i="1" a="1"/>
  <c r="L61" i="1" a="1"/>
  <c r="K61" i="1" a="1"/>
  <c r="J61" i="1" a="1"/>
  <c r="U64" i="1"/>
  <c r="AY64" i="1" s="1"/>
  <c r="T64" i="1" a="1"/>
  <c r="S64" i="1" a="1"/>
  <c r="R64" i="1" a="1"/>
  <c r="Q64" i="1" a="1"/>
  <c r="P64" i="1" a="1"/>
  <c r="O64" i="1" a="1"/>
  <c r="N64" i="1" a="1"/>
  <c r="M64" i="1" a="1"/>
  <c r="L64" i="1" a="1"/>
  <c r="K64" i="1" a="1"/>
  <c r="J64" i="1" a="1"/>
  <c r="U67" i="1"/>
  <c r="AY67" i="1" s="1"/>
  <c r="T67" i="1" a="1"/>
  <c r="S67" i="1" a="1"/>
  <c r="R67" i="1" a="1"/>
  <c r="Q67" i="1" a="1"/>
  <c r="P67" i="1" a="1"/>
  <c r="O67" i="1" a="1"/>
  <c r="N67" i="1" a="1"/>
  <c r="M67" i="1" a="1"/>
  <c r="L67" i="1" a="1"/>
  <c r="K67" i="1" a="1"/>
  <c r="J67" i="1" a="1"/>
  <c r="U68" i="1"/>
  <c r="AY68" i="1" s="1"/>
  <c r="T68" i="1" a="1"/>
  <c r="S68" i="1" a="1"/>
  <c r="R68" i="1" a="1"/>
  <c r="Q68" i="1" a="1"/>
  <c r="P68" i="1" a="1"/>
  <c r="O68" i="1" a="1"/>
  <c r="N68" i="1" a="1"/>
  <c r="M68" i="1" a="1"/>
  <c r="L68" i="1" a="1"/>
  <c r="K68" i="1" a="1"/>
  <c r="J68" i="1" a="1"/>
  <c r="U69" i="1"/>
  <c r="AY69" i="1" s="1"/>
  <c r="T69" i="1" a="1"/>
  <c r="S69" i="1" a="1"/>
  <c r="R69" i="1" a="1"/>
  <c r="Q69" i="1" a="1"/>
  <c r="P69" i="1" a="1"/>
  <c r="O69" i="1" a="1"/>
  <c r="N69" i="1" a="1"/>
  <c r="M69" i="1" a="1"/>
  <c r="L69" i="1" a="1"/>
  <c r="K69" i="1" a="1"/>
  <c r="J69" i="1" a="1"/>
  <c r="U70" i="1"/>
  <c r="AY70" i="1" s="1"/>
  <c r="T70" i="1" a="1"/>
  <c r="S70" i="1" a="1"/>
  <c r="R70" i="1" a="1"/>
  <c r="Q70" i="1" a="1"/>
  <c r="P70" i="1" a="1"/>
  <c r="O70" i="1" a="1"/>
  <c r="N70" i="1" a="1"/>
  <c r="M70" i="1" a="1"/>
  <c r="L70" i="1" a="1"/>
  <c r="K70" i="1" a="1"/>
  <c r="J70" i="1" a="1"/>
  <c r="U75" i="1"/>
  <c r="AY75" i="1" s="1"/>
  <c r="T75" i="1" a="1"/>
  <c r="S75" i="1" a="1"/>
  <c r="R75" i="1" a="1"/>
  <c r="Q75" i="1" a="1"/>
  <c r="P75" i="1" a="1"/>
  <c r="O75" i="1" a="1"/>
  <c r="N75" i="1" a="1"/>
  <c r="M75" i="1" a="1"/>
  <c r="L75" i="1" a="1"/>
  <c r="K75" i="1" a="1"/>
  <c r="J75" i="1" a="1"/>
  <c r="U76" i="1"/>
  <c r="AY76" i="1" s="1"/>
  <c r="T76" i="1" a="1"/>
  <c r="S76" i="1" a="1"/>
  <c r="R76" i="1" a="1"/>
  <c r="Q76" i="1" a="1"/>
  <c r="P76" i="1" a="1"/>
  <c r="O76" i="1" a="1"/>
  <c r="N76" i="1" a="1"/>
  <c r="M76" i="1" a="1"/>
  <c r="L76" i="1" a="1"/>
  <c r="K76" i="1" a="1"/>
  <c r="J76" i="1" a="1"/>
  <c r="U79" i="1"/>
  <c r="AY79" i="1" s="1"/>
  <c r="T79" i="1" a="1"/>
  <c r="S79" i="1" a="1"/>
  <c r="R79" i="1" a="1"/>
  <c r="Q79" i="1" a="1"/>
  <c r="P79" i="1" a="1"/>
  <c r="O79" i="1" a="1"/>
  <c r="N79" i="1" a="1"/>
  <c r="M79" i="1" a="1"/>
  <c r="L79" i="1" a="1"/>
  <c r="K79" i="1" a="1"/>
  <c r="J79" i="1" a="1"/>
  <c r="T80" i="1" a="1"/>
  <c r="S80" i="1" a="1"/>
  <c r="R80" i="1" a="1"/>
  <c r="Q80" i="1" a="1"/>
  <c r="P80" i="1" a="1"/>
  <c r="O80" i="1" a="1"/>
  <c r="N80" i="1" a="1"/>
  <c r="M80" i="1" a="1"/>
  <c r="L80" i="1" a="1"/>
  <c r="K80" i="1" a="1"/>
  <c r="J80" i="1" a="1"/>
  <c r="U81" i="1"/>
  <c r="AY81" i="1" s="1"/>
  <c r="T81" i="1" a="1"/>
  <c r="S81" i="1" a="1"/>
  <c r="R81" i="1" a="1"/>
  <c r="Q81" i="1" a="1"/>
  <c r="P81" i="1" a="1"/>
  <c r="O81" i="1" a="1"/>
  <c r="N81" i="1" a="1"/>
  <c r="M81" i="1" a="1"/>
  <c r="L81" i="1" a="1"/>
  <c r="K81" i="1" a="1"/>
  <c r="J81" i="1" a="1"/>
  <c r="U87" i="1"/>
  <c r="AY87" i="1" s="1"/>
  <c r="T87" i="1" a="1"/>
  <c r="S87" i="1" a="1"/>
  <c r="R87" i="1" a="1"/>
  <c r="Q87" i="1" a="1"/>
  <c r="P87" i="1" a="1"/>
  <c r="O87" i="1" a="1"/>
  <c r="N87" i="1" a="1"/>
  <c r="M87" i="1" a="1"/>
  <c r="L87" i="1" a="1"/>
  <c r="K87" i="1" a="1"/>
  <c r="J87" i="1" a="1"/>
  <c r="U88" i="1"/>
  <c r="AY88" i="1" s="1"/>
  <c r="T88" i="1" a="1"/>
  <c r="S88" i="1" a="1"/>
  <c r="R88" i="1" a="1"/>
  <c r="Q88" i="1" a="1"/>
  <c r="P88" i="1" a="1"/>
  <c r="O88" i="1" a="1"/>
  <c r="N88" i="1" a="1"/>
  <c r="M88" i="1" a="1"/>
  <c r="L88" i="1" a="1"/>
  <c r="K88" i="1" a="1"/>
  <c r="J88" i="1" a="1"/>
  <c r="U91" i="1"/>
  <c r="AY91" i="1" s="1"/>
  <c r="T91" i="1" a="1"/>
  <c r="S91" i="1" a="1"/>
  <c r="R91" i="1" a="1"/>
  <c r="Q91" i="1" a="1"/>
  <c r="P91" i="1" a="1"/>
  <c r="O91" i="1" a="1"/>
  <c r="N91" i="1" a="1"/>
  <c r="M91" i="1" a="1"/>
  <c r="L91" i="1" a="1"/>
  <c r="K91" i="1" a="1"/>
  <c r="J91" i="1" a="1"/>
  <c r="U93" i="1"/>
  <c r="AY93" i="1" s="1"/>
  <c r="T93" i="1" a="1"/>
  <c r="S93" i="1" a="1"/>
  <c r="R93" i="1" a="1"/>
  <c r="Q93" i="1" a="1"/>
  <c r="P93" i="1" a="1"/>
  <c r="O93" i="1" a="1"/>
  <c r="N93" i="1" a="1"/>
  <c r="M93" i="1" a="1"/>
  <c r="L93" i="1" a="1"/>
  <c r="K93" i="1" a="1"/>
  <c r="J93" i="1" a="1"/>
  <c r="U94" i="1"/>
  <c r="AY94" i="1" s="1"/>
  <c r="T94" i="1" a="1"/>
  <c r="S94" i="1" a="1"/>
  <c r="R94" i="1" a="1"/>
  <c r="Q94" i="1" a="1"/>
  <c r="P94" i="1" a="1"/>
  <c r="O94" i="1" a="1"/>
  <c r="N94" i="1" a="1"/>
  <c r="M94" i="1" a="1"/>
  <c r="L94" i="1" a="1"/>
  <c r="K94" i="1" a="1"/>
  <c r="J94" i="1" a="1"/>
  <c r="U83" i="1"/>
  <c r="AY83" i="1" s="1"/>
  <c r="T83" i="1" a="1"/>
  <c r="S83" i="1" a="1"/>
  <c r="R83" i="1" a="1"/>
  <c r="Q83" i="1" a="1"/>
  <c r="P83" i="1" a="1"/>
  <c r="O83" i="1" a="1"/>
  <c r="N83" i="1" a="1"/>
  <c r="M83" i="1" a="1"/>
  <c r="L83" i="1" a="1"/>
  <c r="K83" i="1" a="1"/>
  <c r="J83" i="1" a="1"/>
  <c r="U12" i="1"/>
  <c r="AY12" i="1" s="1"/>
  <c r="T12" i="1" a="1"/>
  <c r="S12" i="1" a="1"/>
  <c r="R12" i="1" a="1"/>
  <c r="Q12" i="1" a="1"/>
  <c r="P12" i="1" a="1"/>
  <c r="O12" i="1" a="1"/>
  <c r="N12" i="1" a="1"/>
  <c r="M12" i="1" a="1"/>
  <c r="L12" i="1" a="1"/>
  <c r="K12" i="1" a="1"/>
  <c r="J12" i="1" a="1"/>
  <c r="U72" i="1"/>
  <c r="AY72" i="1" s="1"/>
  <c r="T72" i="1" a="1"/>
  <c r="S72" i="1" a="1"/>
  <c r="R72" i="1" a="1"/>
  <c r="Q72" i="1" a="1"/>
  <c r="P72" i="1" a="1"/>
  <c r="O72" i="1" a="1"/>
  <c r="N72" i="1" a="1"/>
  <c r="M72" i="1" a="1"/>
  <c r="L72" i="1" a="1"/>
  <c r="K72" i="1" a="1"/>
  <c r="J72" i="1" a="1"/>
  <c r="U73" i="1"/>
  <c r="AY73" i="1" s="1"/>
  <c r="T73" i="1" a="1"/>
  <c r="S73" i="1" a="1"/>
  <c r="R73" i="1" a="1"/>
  <c r="Q73" i="1" a="1"/>
  <c r="P73" i="1" a="1"/>
  <c r="O73" i="1" a="1"/>
  <c r="N73" i="1" a="1"/>
  <c r="M73" i="1" a="1"/>
  <c r="L73" i="1" a="1"/>
  <c r="K73" i="1" a="1"/>
  <c r="J73" i="1" a="1"/>
  <c r="U48" i="1"/>
  <c r="AY48" i="1" s="1"/>
  <c r="T48" i="1" a="1"/>
  <c r="S48" i="1" a="1"/>
  <c r="R48" i="1" a="1"/>
  <c r="Q48" i="1" a="1"/>
  <c r="P48" i="1" a="1"/>
  <c r="O48" i="1" a="1"/>
  <c r="N48" i="1" a="1"/>
  <c r="M48" i="1" a="1"/>
  <c r="L48" i="1" a="1"/>
  <c r="K48" i="1" a="1"/>
  <c r="J48" i="1" a="1"/>
  <c r="U90" i="1"/>
  <c r="AY90" i="1" s="1"/>
  <c r="T90" i="1" a="1"/>
  <c r="S90" i="1" a="1"/>
  <c r="R90" i="1" a="1"/>
  <c r="Q90" i="1" a="1"/>
  <c r="P90" i="1" a="1"/>
  <c r="O90" i="1" a="1"/>
  <c r="N90" i="1" a="1"/>
  <c r="M90" i="1" a="1"/>
  <c r="L90" i="1" a="1"/>
  <c r="K90" i="1" a="1"/>
  <c r="J90" i="1" a="1"/>
  <c r="U3" i="1"/>
  <c r="AY3" i="1" s="1"/>
  <c r="T3" i="1" a="1"/>
  <c r="S3" i="1" a="1"/>
  <c r="R3" i="1" a="1"/>
  <c r="Q3" i="1" a="1"/>
  <c r="P3" i="1" a="1"/>
  <c r="O3" i="1" a="1"/>
  <c r="N3" i="1" a="1"/>
  <c r="M3" i="1" a="1"/>
  <c r="L3" i="1" a="1"/>
  <c r="K3" i="1" a="1"/>
  <c r="J3" i="1" a="1"/>
  <c r="U20" i="1"/>
  <c r="AY20" i="1" s="1"/>
  <c r="T20" i="1" a="1"/>
  <c r="S20" i="1" a="1"/>
  <c r="R20" i="1" a="1"/>
  <c r="Q20" i="1" a="1"/>
  <c r="P20" i="1" a="1"/>
  <c r="O20" i="1" a="1"/>
  <c r="N20" i="1" a="1"/>
  <c r="M20" i="1" a="1"/>
  <c r="L20" i="1" a="1"/>
  <c r="K20" i="1" a="1"/>
  <c r="J20" i="1" a="1"/>
  <c r="U85" i="1"/>
  <c r="AY85" i="1" s="1"/>
  <c r="T85" i="1" a="1"/>
  <c r="S85" i="1" a="1"/>
  <c r="R85" i="1" a="1"/>
  <c r="Q85" i="1" a="1"/>
  <c r="P85" i="1" a="1"/>
  <c r="O85" i="1" a="1"/>
  <c r="N85" i="1" a="1"/>
  <c r="M85" i="1" a="1"/>
  <c r="L85" i="1" a="1"/>
  <c r="K85" i="1" a="1"/>
  <c r="J85" i="1" a="1"/>
  <c r="U84" i="1"/>
  <c r="AY84" i="1" s="1"/>
  <c r="T84" i="1" a="1"/>
  <c r="S84" i="1" a="1"/>
  <c r="R84" i="1" a="1"/>
  <c r="Q84" i="1" a="1"/>
  <c r="P84" i="1" a="1"/>
  <c r="O84" i="1" a="1"/>
  <c r="N84" i="1" a="1"/>
  <c r="M84" i="1" a="1"/>
  <c r="L84" i="1" a="1"/>
  <c r="K84" i="1" a="1"/>
  <c r="J84" i="1" a="1"/>
  <c r="U86" i="1"/>
  <c r="AY86" i="1" s="1"/>
  <c r="T86" i="1" a="1"/>
  <c r="S86" i="1" a="1"/>
  <c r="R86" i="1" a="1"/>
  <c r="Q86" i="1" a="1"/>
  <c r="P86" i="1" a="1"/>
  <c r="O86" i="1" a="1"/>
  <c r="N86" i="1" a="1"/>
  <c r="M86" i="1" a="1"/>
  <c r="L86" i="1" a="1"/>
  <c r="K86" i="1" a="1"/>
  <c r="J86" i="1" a="1"/>
  <c r="U24" i="1"/>
  <c r="AY24" i="1" s="1"/>
  <c r="T24" i="1" a="1"/>
  <c r="S24" i="1" a="1"/>
  <c r="R24" i="1" a="1"/>
  <c r="Q24" i="1" a="1"/>
  <c r="P24" i="1" a="1"/>
  <c r="O24" i="1" a="1"/>
  <c r="N24" i="1" a="1"/>
  <c r="M24" i="1" a="1"/>
  <c r="L24" i="1" a="1"/>
  <c r="K24" i="1" a="1"/>
  <c r="J24" i="1" a="1"/>
  <c r="U92" i="1"/>
  <c r="AY92" i="1" s="1"/>
  <c r="T92" i="1" a="1"/>
  <c r="S92" i="1" a="1"/>
  <c r="R92" i="1" a="1"/>
  <c r="Q92" i="1" a="1"/>
  <c r="P92" i="1" a="1"/>
  <c r="O92" i="1" a="1"/>
  <c r="N92" i="1" a="1"/>
  <c r="M92" i="1" a="1"/>
  <c r="L92" i="1" a="1"/>
  <c r="K92" i="1" a="1"/>
  <c r="J92" i="1" a="1"/>
  <c r="U33" i="1"/>
  <c r="AY33" i="1" s="1"/>
  <c r="T33" i="1" a="1"/>
  <c r="S33" i="1" a="1"/>
  <c r="R33" i="1" a="1"/>
  <c r="Q33" i="1" a="1"/>
  <c r="P33" i="1" a="1"/>
  <c r="O33" i="1" a="1"/>
  <c r="N33" i="1" a="1"/>
  <c r="M33" i="1" a="1"/>
  <c r="L33" i="1" a="1"/>
  <c r="K33" i="1" a="1"/>
  <c r="J33" i="1" a="1"/>
  <c r="U7" i="1"/>
  <c r="AY7" i="1" s="1"/>
  <c r="T7" i="1" a="1"/>
  <c r="S7" i="1" a="1"/>
  <c r="R7" i="1" a="1"/>
  <c r="Q7" i="1" a="1"/>
  <c r="P7" i="1" a="1"/>
  <c r="O7" i="1" a="1"/>
  <c r="N7" i="1" a="1"/>
  <c r="M7" i="1" a="1"/>
  <c r="L7" i="1" a="1"/>
  <c r="K7" i="1" a="1"/>
  <c r="J7" i="1" a="1"/>
  <c r="U43" i="1"/>
  <c r="AY43" i="1" s="1"/>
  <c r="T43" i="1" a="1"/>
  <c r="S43" i="1" a="1"/>
  <c r="R43" i="1" a="1"/>
  <c r="Q43" i="1" a="1"/>
  <c r="P43" i="1" a="1"/>
  <c r="O43" i="1" a="1"/>
  <c r="N43" i="1" a="1"/>
  <c r="M43" i="1" a="1"/>
  <c r="L43" i="1" a="1"/>
  <c r="K43" i="1" a="1"/>
  <c r="J43" i="1" a="1"/>
  <c r="U77" i="1"/>
  <c r="AY77" i="1" s="1"/>
  <c r="T77" i="1" a="1"/>
  <c r="S77" i="1" a="1"/>
  <c r="R77" i="1" a="1"/>
  <c r="Q77" i="1" a="1"/>
  <c r="P77" i="1" a="1"/>
  <c r="O77" i="1" a="1"/>
  <c r="N77" i="1" a="1"/>
  <c r="M77" i="1" a="1"/>
  <c r="L77" i="1" a="1"/>
  <c r="K77" i="1" a="1"/>
  <c r="J77" i="1" a="1"/>
  <c r="U36" i="1"/>
  <c r="AY36" i="1" s="1"/>
  <c r="T36" i="1" a="1"/>
  <c r="S36" i="1" a="1"/>
  <c r="R36" i="1" a="1"/>
  <c r="Q36" i="1" a="1"/>
  <c r="P36" i="1" a="1"/>
  <c r="O36" i="1" a="1"/>
  <c r="N36" i="1" a="1"/>
  <c r="M36" i="1" a="1"/>
  <c r="L36" i="1" a="1"/>
  <c r="K36" i="1" a="1"/>
  <c r="J36" i="1" a="1"/>
  <c r="U49" i="1"/>
  <c r="AY49" i="1" s="1"/>
  <c r="T49" i="1" a="1"/>
  <c r="S49" i="1" a="1"/>
  <c r="R49" i="1" a="1"/>
  <c r="Q49" i="1" a="1"/>
  <c r="P49" i="1" a="1"/>
  <c r="O49" i="1" a="1"/>
  <c r="N49" i="1" a="1"/>
  <c r="M49" i="1" a="1"/>
  <c r="L49" i="1" a="1"/>
  <c r="K49" i="1" a="1"/>
  <c r="J49" i="1" a="1"/>
  <c r="U54" i="1"/>
  <c r="AY54" i="1" s="1"/>
  <c r="T54" i="1" a="1"/>
  <c r="S54" i="1" a="1"/>
  <c r="R54" i="1" a="1"/>
  <c r="Q54" i="1" a="1"/>
  <c r="P54" i="1" a="1"/>
  <c r="O54" i="1" a="1"/>
  <c r="N54" i="1" a="1"/>
  <c r="M54" i="1" a="1"/>
  <c r="L54" i="1" a="1"/>
  <c r="K54" i="1" a="1"/>
  <c r="J54" i="1" a="1"/>
  <c r="U66" i="1"/>
  <c r="AY66" i="1" s="1"/>
  <c r="T66" i="1" a="1"/>
  <c r="S66" i="1" a="1"/>
  <c r="R66" i="1" a="1"/>
  <c r="Q66" i="1" a="1"/>
  <c r="P66" i="1" a="1"/>
  <c r="O66" i="1" a="1"/>
  <c r="N66" i="1" a="1"/>
  <c r="M66" i="1" a="1"/>
  <c r="L66" i="1" a="1"/>
  <c r="K66" i="1" a="1"/>
  <c r="J66" i="1" a="1"/>
  <c r="T82" i="1" a="1"/>
  <c r="S82" i="1" a="1"/>
  <c r="R82" i="1" a="1"/>
  <c r="Q82" i="1" a="1"/>
  <c r="P82" i="1" a="1"/>
  <c r="O82" i="1" a="1"/>
  <c r="N82" i="1" a="1"/>
  <c r="M82" i="1" a="1"/>
  <c r="L82" i="1" a="1"/>
  <c r="K82" i="1" a="1"/>
  <c r="J82" i="1" a="1"/>
  <c r="T30" i="1" a="1"/>
  <c r="S30" i="1" a="1"/>
  <c r="R30" i="1" a="1"/>
  <c r="Q30" i="1" a="1"/>
  <c r="P30" i="1" a="1"/>
  <c r="O30" i="1" a="1"/>
  <c r="N30" i="1" a="1"/>
  <c r="M30" i="1" a="1"/>
  <c r="L30" i="1" a="1"/>
  <c r="K30" i="1" a="1"/>
  <c r="J30" i="1" a="1"/>
  <c r="T41" i="1" a="1"/>
  <c r="S41" i="1" a="1"/>
  <c r="R41" i="1" a="1"/>
  <c r="Q41" i="1" a="1"/>
  <c r="P41" i="1" a="1"/>
  <c r="O41" i="1" a="1"/>
  <c r="N41" i="1" a="1"/>
  <c r="M41" i="1" a="1"/>
  <c r="L41" i="1" a="1"/>
  <c r="K41" i="1" a="1"/>
  <c r="J41" i="1" a="1"/>
  <c r="T37" i="1" a="1"/>
  <c r="S37" i="1" a="1"/>
  <c r="R37" i="1" a="1"/>
  <c r="Q37" i="1" a="1"/>
  <c r="P37" i="1" a="1"/>
  <c r="O37" i="1" a="1"/>
  <c r="N37" i="1" a="1"/>
  <c r="M37" i="1" a="1"/>
  <c r="L37" i="1" a="1"/>
  <c r="K37" i="1" a="1"/>
  <c r="J37" i="1" a="1"/>
  <c r="T38" i="1" a="1"/>
  <c r="S38" i="1" a="1"/>
  <c r="R38" i="1" a="1"/>
  <c r="Q38" i="1" a="1"/>
  <c r="P38" i="1" a="1"/>
  <c r="O38" i="1" a="1"/>
  <c r="N38" i="1" a="1"/>
  <c r="M38" i="1" a="1"/>
  <c r="L38" i="1" a="1"/>
  <c r="K38" i="1" a="1"/>
  <c r="J38" i="1" a="1"/>
  <c r="T39" i="1" a="1"/>
  <c r="S39" i="1" a="1"/>
  <c r="R39" i="1" a="1"/>
  <c r="Q39" i="1" a="1"/>
  <c r="P39" i="1" a="1"/>
  <c r="O39" i="1" a="1"/>
  <c r="N39" i="1" a="1"/>
  <c r="M39" i="1" a="1"/>
  <c r="L39" i="1" a="1"/>
  <c r="K39" i="1" a="1"/>
  <c r="J39" i="1" a="1"/>
  <c r="T40" i="1" a="1"/>
  <c r="S40" i="1" a="1"/>
  <c r="R40" i="1" a="1"/>
  <c r="Q40" i="1" a="1"/>
  <c r="P40" i="1" a="1"/>
  <c r="O40" i="1" a="1"/>
  <c r="N40" i="1" a="1"/>
  <c r="M40" i="1" a="1"/>
  <c r="L40" i="1" a="1"/>
  <c r="K40" i="1" a="1"/>
  <c r="J40" i="1" a="1"/>
  <c r="T53" i="1" a="1"/>
  <c r="S53" i="1" a="1"/>
  <c r="R53" i="1" a="1"/>
  <c r="Q53" i="1" a="1"/>
  <c r="P53" i="1" a="1"/>
  <c r="O53" i="1" a="1"/>
  <c r="N53" i="1" a="1"/>
  <c r="M53" i="1" a="1"/>
  <c r="L53" i="1" a="1"/>
  <c r="K53" i="1" a="1"/>
  <c r="J53" i="1" a="1"/>
  <c r="U46" i="1"/>
  <c r="AY46" i="1" s="1"/>
  <c r="T46" i="1" a="1"/>
  <c r="S46" i="1" a="1"/>
  <c r="R46" i="1" a="1"/>
  <c r="Q46" i="1" a="1"/>
  <c r="P46" i="1" a="1"/>
  <c r="O46" i="1" a="1"/>
  <c r="N46" i="1" a="1"/>
  <c r="M46" i="1" a="1"/>
  <c r="L46" i="1" a="1"/>
  <c r="K46" i="1" a="1"/>
  <c r="J46" i="1" a="1"/>
  <c r="T50" i="1" a="1"/>
  <c r="S50" i="1" a="1"/>
  <c r="R50" i="1" a="1"/>
  <c r="Q50" i="1" a="1"/>
  <c r="P50" i="1" a="1"/>
  <c r="O50" i="1" a="1"/>
  <c r="N50" i="1" a="1"/>
  <c r="M50" i="1" a="1"/>
  <c r="L50" i="1" a="1"/>
  <c r="K50" i="1" a="1"/>
  <c r="J50" i="1" a="1"/>
  <c r="U47" i="1"/>
  <c r="AY47" i="1" s="1"/>
  <c r="T47" i="1" a="1"/>
  <c r="S47" i="1" a="1"/>
  <c r="R47" i="1" a="1"/>
  <c r="Q47" i="1" a="1"/>
  <c r="P47" i="1" a="1"/>
  <c r="O47" i="1" a="1"/>
  <c r="N47" i="1" a="1"/>
  <c r="M47" i="1" a="1"/>
  <c r="L47" i="1" a="1"/>
  <c r="K47" i="1" a="1"/>
  <c r="J47" i="1" a="1"/>
  <c r="T96" i="1" a="1"/>
  <c r="S96" i="1" a="1"/>
  <c r="R96" i="1" a="1"/>
  <c r="Q96" i="1" a="1"/>
  <c r="P96" i="1" a="1"/>
  <c r="O96" i="1" a="1"/>
  <c r="N96" i="1" a="1"/>
  <c r="M96" i="1" a="1"/>
  <c r="L96" i="1" a="1"/>
  <c r="K96" i="1" a="1"/>
  <c r="U96" i="1"/>
  <c r="AY96" i="1" s="1"/>
  <c r="J96" i="1" a="1"/>
  <c r="F19" i="2"/>
  <c r="E19" i="2"/>
  <c r="R18" i="2"/>
  <c r="R19" i="2" s="1"/>
  <c r="R17" i="2"/>
  <c r="R16" i="2"/>
  <c r="R15" i="2"/>
  <c r="R14" i="2"/>
  <c r="R13" i="2"/>
  <c r="R12" i="2"/>
  <c r="R11" i="2"/>
  <c r="R10" i="2"/>
  <c r="R9" i="2"/>
  <c r="R8" i="2"/>
  <c r="R7" i="2"/>
  <c r="R6" i="2"/>
  <c r="R5" i="2"/>
  <c r="R4" i="2"/>
  <c r="R3" i="2"/>
  <c r="R2" i="2"/>
  <c r="AX97" i="1" l="1"/>
  <c r="AY97" i="1" s="1"/>
  <c r="U8" i="1" l="1"/>
  <c r="AY8" i="1" s="1"/>
  <c r="U19" i="1" l="1"/>
  <c r="AY19" i="1" s="1"/>
  <c r="U21" i="1" l="1"/>
  <c r="AY21" i="1" s="1"/>
  <c r="U32" i="1" l="1"/>
  <c r="AY32" i="1" s="1"/>
  <c r="U60" i="1" l="1"/>
  <c r="AY60" i="1" s="1"/>
  <c r="U62" i="1" l="1"/>
  <c r="AY62" i="1" s="1"/>
  <c r="U58" i="1" l="1"/>
  <c r="AY58" i="1" s="1"/>
  <c r="U80" i="1" l="1"/>
  <c r="AY80" i="1" s="1"/>
  <c r="U82" i="1" l="1"/>
  <c r="AY82" i="1" s="1"/>
  <c r="U30" i="1" l="1"/>
  <c r="AY30" i="1" s="1"/>
  <c r="U41" i="1" l="1"/>
  <c r="AY41" i="1" s="1"/>
  <c r="U37" i="1" l="1"/>
  <c r="AY37" i="1" s="1"/>
  <c r="U38" i="1" l="1"/>
  <c r="AY38" i="1" s="1"/>
  <c r="U39" i="1" l="1"/>
  <c r="AY39" i="1" s="1"/>
  <c r="U40" i="1" l="1"/>
  <c r="AY40" i="1" s="1"/>
  <c r="U53" i="1" l="1"/>
  <c r="AY53" i="1" s="1"/>
  <c r="U50" i="1" l="1"/>
  <c r="AY5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Sebastian Monroy Cardenas</author>
  </authors>
  <commentList>
    <comment ref="V2" authorId="0" shapeId="0" xr:uid="{2900550D-E894-4448-97BF-765F54858057}">
      <text>
        <r>
          <rPr>
            <b/>
            <sz val="9"/>
            <color indexed="81"/>
            <rFont val="Tahoma"/>
            <family val="2"/>
          </rPr>
          <t>Juan Sebastian Monroy Cardenas:</t>
        </r>
        <r>
          <rPr>
            <sz val="9"/>
            <color indexed="81"/>
            <rFont val="Tahoma"/>
            <family val="2"/>
          </rPr>
          <t xml:space="preserve">
Columna de enlace: fila correspondiente en la hoja Articulacion, emparejada manualmente por coincidencia de descripción del artículo (columna C de Matriz vs columna D de Articulacion). Usada por las fórmulas INDEX de las columnas J:V.</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<sst xmlns="http://schemas.openxmlformats.org/spreadsheetml/2006/main" count="558" uniqueCount="245">
  <si>
    <t>Articulacion</t>
  </si>
  <si>
    <t>Regulada</t>
  </si>
  <si>
    <t>LINEA</t>
  </si>
  <si>
    <t>CONSECUTIVO</t>
  </si>
  <si>
    <t>OBSERVACIONES</t>
  </si>
  <si>
    <t>MARCA</t>
  </si>
  <si>
    <t>MODELO</t>
  </si>
  <si>
    <t>SERIAL</t>
  </si>
  <si>
    <t>CANTIDAD</t>
  </si>
  <si>
    <t>COSTO UNITARIO</t>
  </si>
  <si>
    <t>OTROSCOSTOS</t>
  </si>
  <si>
    <t>3425230 ASISTENCIA ADMINISTRATIVA</t>
  </si>
  <si>
    <t>3425227 ASISTENCIA ADMINISTRATIVA</t>
  </si>
  <si>
    <t>3425495 ASISTENCIA ADMINISTRATIVA</t>
  </si>
  <si>
    <t>3425231 CONTABILIZACION DE OPERACIONES COMERCIALES Y FINANCIERAS</t>
  </si>
  <si>
    <t>3425503 CONTABILIZACION DE OPERACIONES COMERCIALES Y FINANCIERAS</t>
  </si>
  <si>
    <t>3425505 CONTABILIZACION DE OPERACIONES COMERCIALES Y FINANCIERAS</t>
  </si>
  <si>
    <t>3425511 VENTA DE PRODUCTOS EN LINEA</t>
  </si>
  <si>
    <t>3425209 CONSERVACION DE RECURSOS NATURALES</t>
  </si>
  <si>
    <t>3425210 CONSERVACION DE RECURSOS NATURALES</t>
  </si>
  <si>
    <t>3425504 CONSERVACION DE RECURSOS NATURALES</t>
  </si>
  <si>
    <t>3425222 MONITOREO AMBIENTAL</t>
  </si>
  <si>
    <t>TOTAL SALIDA ARTICULACIÓN</t>
  </si>
  <si>
    <t>FILA ARTICULACIÓN (ref.)</t>
  </si>
  <si>
    <t>3409954 ASISTENCIA EN ORGANIZACION DE ARCHIVOS .</t>
  </si>
  <si>
    <t>3554431
ASISTENCIA EN ORGANIZACION DE ARCHIVOS .</t>
  </si>
  <si>
    <t>3225901  GESTIÓN ADMINISTRATIVA</t>
  </si>
  <si>
    <t>3387728  GESTIÓN ADMINISTRATIVA</t>
  </si>
  <si>
    <t>3409966   GESTIÓN ADMINISTRATIVA</t>
  </si>
  <si>
    <t>3488746  GESTIÓN ADMINISTRATIVA</t>
  </si>
  <si>
    <t>3518069 GESTIÓN ADMINISTRATIVA</t>
  </si>
  <si>
    <t>3276454
GESTIÓN EMPRESARIAL</t>
  </si>
  <si>
    <t>3404023 ASISTENCIA ADMINISTRATIVA .</t>
  </si>
  <si>
    <t>3453974 ASISTENCIA ADMINISTRATIVA .</t>
  </si>
  <si>
    <t xml:space="preserve">3485255 COORDINACION EN SISTEMAS INTEGRADOS DE GESTION </t>
  </si>
  <si>
    <t>3488730
OPERACIONES DE COMERCIO EXTERIOR</t>
  </si>
  <si>
    <t>3269063 GESTION CONTABLE Y DE INFORMACION FINANCIERA</t>
  </si>
  <si>
    <t>3279088 GESTION CONTABLE Y DE INFORMACION FINANCIERA</t>
  </si>
  <si>
    <t>3387727 GESTION CONTABLE Y DE INFORMACION FINANCIERA</t>
  </si>
  <si>
    <t xml:space="preserve"> 3407377 GESTION CONTABLE Y DE INFORMACION FINANCIERA</t>
  </si>
  <si>
    <t>3409967 GESTION CONTABLE Y DE INFORMACION FINANCIERA</t>
  </si>
  <si>
    <t>3488739 GESTION CONTABLE Y DE INFORMACION FINANCIERA</t>
  </si>
  <si>
    <t>3311563 APOYO ADMINISTRATIVO EN SALUD.</t>
  </si>
  <si>
    <t>3488725 APOYO ADMINISTRATIVO EN SALUD.</t>
  </si>
  <si>
    <t>3409965 ATENCION INTEGRAL A LA PRIMERA INFANCIA</t>
  </si>
  <si>
    <t>3529543 ATENCION INTEGRAL A LA PRIMERA INFANCIA</t>
  </si>
  <si>
    <t>3311550 ENFERMERIA.</t>
  </si>
  <si>
    <t>3488712 ENFERMERIA.</t>
  </si>
  <si>
    <t>3423692 PROMOTOR DE SALUD</t>
  </si>
  <si>
    <t>3444274 PROMOTOR DE SALUD</t>
  </si>
  <si>
    <t>3447193 INTERPRETACION DE INSTRUMENTOS MUSICALES.</t>
  </si>
  <si>
    <t>Total salida Regulada</t>
  </si>
  <si>
    <t>Saldo</t>
  </si>
  <si>
    <t>238187</t>
  </si>
  <si>
    <t>Vinilo, pintura escolar colores surtidos, envase plástico con tapa dosificadora. 1000 ml pinturas a base de agua de secado rápido, buen poder de cubrimiento, colores entre mezclables de alta Unidad 19 intensidad. Contenido por frasco 1 litro (amarillo, azul, rojo, verde, naranja, blanco y negro)</t>
  </si>
  <si>
    <t>NA</t>
  </si>
  <si>
    <t>244279</t>
  </si>
  <si>
    <t>Juego Didáctico Tío Rico aprender Sobre Dinero Características del producto Características principales Nombre del juego de mesa McPato: La Aventura del Capitalismo Edición Tio Rico Idioma Español características Formato de venta Unidad Formato Físico Tipo de juego Juego de mesa educativo de economía y finanzas Componentes del juego Dinero de juego, Fichas, Tablero, cartas de lotería y sorpresa, casas y castillos Cantidad mínima de jugadores – Cantidad máxima de jugadores 2 – 6 Es un juego de cartas SI</t>
  </si>
  <si>
    <t>292235</t>
  </si>
  <si>
    <t>Lapicero Retráctil, de alta calidad, Tinta negra, Cuerpo en acrílico denso, Presentación: Caja x 12 unidades</t>
  </si>
  <si>
    <t>299809</t>
  </si>
  <si>
    <t>Juego De Mesa Monopoly Clásico Características del producto Características principales Nombre del juego de mesa Monopoly Clásico Modelo alfanumérico G0009 Idioma Español Formato Físico Tipo de juego Estrategia Componentes del juego Incluye tablero 8 peones 28 tarjetas de Título de Propiedad Largo del juego 4,1 cm Ancho del juego 26,7 cm Altura del juego 26,7 cm</t>
  </si>
  <si>
    <t>292317</t>
  </si>
  <si>
    <t>Libreta facturas Libro, de facturas, 1/2, carta</t>
  </si>
  <si>
    <t>253827</t>
  </si>
  <si>
    <t>Formato hoja de vida sencilla, paquete, x, 10 unidades</t>
  </si>
  <si>
    <t>280456</t>
  </si>
  <si>
    <t>formato contrato de trabajo a término fijo, paquete, x 12, Unds</t>
  </si>
  <si>
    <t>Formato contrato civil, paquete, x 12, unds</t>
  </si>
  <si>
    <t>292316</t>
  </si>
  <si>
    <t>Formato contrato a término indefinido, paquete, x 12, Unidades</t>
  </si>
  <si>
    <t>287188</t>
  </si>
  <si>
    <t>Formato pagaré paquete x 80 unidades</t>
  </si>
  <si>
    <t>260817</t>
  </si>
  <si>
    <t>Comprobante de ingreso talonario, x, 80, hojas</t>
  </si>
  <si>
    <t>233019</t>
  </si>
  <si>
    <t>Rompecabezas Fauna Silvestre 1000 pz</t>
  </si>
  <si>
    <t>290365</t>
  </si>
  <si>
    <t>Papel adhesivo Papel fotográfico brillante autoadhesivo de alta resolución, resistente al agua. Colores vivos y durables. Terminación: Brillante fotográfico. - Formato: A4 (210mm x 297mm). como CARTA. - Compatibilidad: impresoras de tinta (inkjet). - Tipo de tinta: DYE fotográfica. - Presentación: 10 hojas por paquete. - Aplicaciones: Ideal para imprimir stickers con calidad fotográfica, candy bar, etiquetas de productos y packaging.</t>
  </si>
  <si>
    <t>275126</t>
  </si>
  <si>
    <t>Lienzos Infantiles Para Pintar Al Óleo, Marco Grande, 2 Unid</t>
  </si>
  <si>
    <t>296648</t>
  </si>
  <si>
    <t>Lana acrílica de 10 gramos - x 12 unidades surtidas, especial para tus manualidades.</t>
  </si>
  <si>
    <t>292269</t>
  </si>
  <si>
    <t>Folders plásticos Tamaño: Carta Espesor del material: Entre 0.18 mm y 0.25 mm, colores surtidos azul, rojo, verde, amarillo, naranja y/o transparente. Tipo sobre o tipo carpeta simple. Bordes termosellados para mayor durabilidad, apertura: Lateral o superior, según diseño del fabricante. Acabado: Superficie lisa o ligeramente texturizada para evitar rayones. Capacidad: Apto para contener entre 20 y 40 hojas de papel bond de 75 g/m². Presentación: Paquete por 6 unidades, empacado y sellado.</t>
  </si>
  <si>
    <t>235942</t>
  </si>
  <si>
    <t>Producto editable Papel silueta de 75 grs/mtr2; colores surtidos diferentes tonalidades. Paquetes x 10 octavos.</t>
  </si>
  <si>
    <t>290133</t>
  </si>
  <si>
    <t>Globos r12 marca paquete por 12 unidades, Tamaño inflado aprox 30 cm. Globos redondos de látex, colores sólidos y vibrantes para decorar eventos.</t>
  </si>
  <si>
    <t>290543</t>
  </si>
  <si>
    <t>Barras de pegante sólido, composición: Adhesivo sintético libre de ácido (acid-free), no tóxico, barra en tubo plástico con mecanismo giratorio, contenido por barra: Entre 8 g y 12 g, material del envase plástico resistente con tapa de seguridad, secado rápido, limpio y sin residuos. Apto para papel, cartulina, cartón delgado y materiales escolares. Apto para uso escolar. Presentación individual</t>
  </si>
  <si>
    <t>280058</t>
  </si>
  <si>
    <t>Crayolas extra gruesa paquete por 18 unidades, Colores: varios, Forma: cilíndrica</t>
  </si>
  <si>
    <t>240861</t>
  </si>
  <si>
    <t>Tajalápiz manual con depósito integrado para residuos, material del cuerpo plástico resistente (ABS o polipropileno), Cuchilla acero inoxidable de alta durabilidad, afilado corte uniforme, apto para lápices de grafito y color estándar, tamaño del orificio estándar para lápices de 7-8 mm de diámetro, depósito integrado, transparente u opaco, tapa o cierre seguro, colores surtidos. Presentación por unidad</t>
  </si>
  <si>
    <t>Cera para hojas facilita el conteo de hojas y billetes, antibacterial, humectante, no mancha, no tóxico. 20 gramos.</t>
  </si>
  <si>
    <t>278263</t>
  </si>
  <si>
    <t>Rótulos multiusos, características adhesivo resistente, de color verde con diámetro: 13 mm en paquete por 1134 unidades</t>
  </si>
  <si>
    <t>Rótulos multiusos, características adhesivo resistente, de color amarillo con diámetro: 13 mm en paquete por 1134 unidades</t>
  </si>
  <si>
    <t>246712</t>
  </si>
  <si>
    <t>Rótulos multiusos, características adhesivo resistente, de color rojo con diámetro: 13 mm en paquete por 1134 unidades</t>
  </si>
  <si>
    <t>279953</t>
  </si>
  <si>
    <t>Cartelera de corcho resistente al pinchado constante, de grano puro y uniforme, funcional y durable con marco plástico blanco o verde y esquinas redondeadas, medidas: desde 1.20 x 80</t>
  </si>
  <si>
    <t>250071</t>
  </si>
  <si>
    <t>Banderín festón de alta calidad material tela resistente a exteriores, color: surtido, blanco-Verde. Paquete de 7 metros por 2 unidades.</t>
  </si>
  <si>
    <t>273571</t>
  </si>
  <si>
    <t>Tabla A4 legajadora con tapa Tamaño: A4 (21 cm x 29.7 cm). Material: Cartón plastificado, PVC rígido, polipropileno (PP) o material similar de alta resistencia. Tapa frontal protectora tipo carpeta. Flexible o semirrígida, Cierre por broche, elástico o solapa. Resistente, anticorrosivo y de apertura fácil Color: Surtido o institucional (azul, negro, rojo, verde, etc.). Apta para archivar entre 150 y 250 hojas de papel bond de 75 g/m². Superficie lisa o texturizada. Presentación: Unidad empacada y Sellada</t>
  </si>
  <si>
    <t>292275</t>
  </si>
  <si>
    <t>kit de oficina que contiene: A. Clips metálicos Material: alambre metálico galvanizado o niquelado. Tamaño: nº 1 o 28 mm (estándar). Color: surtido. Presentación: bolsa o compartimento con mínimo 50 unidades. Características: resistencia a la deformación, no se oxidan fácilmente. B. Manecillas (ganchos mariposa / fasteners) Material: metal o plástico resistente. Tamaño: 8 cm o estándar para archivadores. Color: surtido. Presentación: mínimo 12 unidades. Características: flexibles, resistentes y compatibles con carpetas de dos perforaciones. C. Chinches (tachuelas) Material: cabeza plástica o metálica con punta de acero. Color: surtidos o metálicos. Presentación: mínimo 30 unidades. Características: punta resistente, no se doblan fácilmente. D. Cauchos elásticos, Material: caucho natural o sintético de alta elasticidad. Tamaño: mediano (aprox. 5 cm a 7 cm de diámetro). Color: surtido. Presentación: mínimo 50 unidades. Características: alta resistencia al estiramiento y durabilidad.</t>
  </si>
  <si>
    <t>230924</t>
  </si>
  <si>
    <t>Pilas AAA Pilas, tipo aaa 1.5 v, juego x2 unidades, alkaline, composición química de las pilas: dióxido de manganeso, zinc, hidróxido de potasio, grafito y óxido, de zinc con fecha de vencimiento no inferior a 5 años.</t>
  </si>
  <si>
    <t>230923</t>
  </si>
  <si>
    <t>Pilas AA Pilas, tipo aa 1.5 v, juego x2 unidades, alkaline, composición química de las pilas: dióxido de manganeso, zinc, hidróxido de potasio, grafito y óxido, de zinc con fecha de vencimiento no inferior a 5 años.</t>
  </si>
  <si>
    <t>274294</t>
  </si>
  <si>
    <t>Bolígrafo de punta fina o media, Color de tinta: Morado, base de aceite o gel de secado rápido, no tóxica, Punta media: 1.0 mm y/o Punta fina: 0.7 mm. cuerpo: Plástico resistente, ergonómico, con clip para sujeción, con tapa de seguridad o mecanismo retráctil, flujo de tinta continuo, uniforme y sin saltos. Caja por 12 unidades</t>
  </si>
  <si>
    <t>Rótulo Adhesivo Transferencia Térmica desde 51x25mm Blanco Diseño impreso: Ninguno. autoadhesivo. presentación rollo</t>
  </si>
  <si>
    <t>292218</t>
  </si>
  <si>
    <t>Tijeras oficina Longitud desde 13 cm, material de las hojas: acero inoxidable de alta resistencia, filo recto, afilado, apto para cortes precisos, punta redondeada, material del mango plástico ABS o polipropileno resistente, mangos anatómicos para uso cómodo y prolongado. Presentación Unidad empacada y sellada</t>
  </si>
  <si>
    <t>292217</t>
  </si>
  <si>
    <t>Tijeras oficina con cuchillas de acero inoxidable, 21 cm, Sencillo corte recto</t>
  </si>
  <si>
    <t>290151</t>
  </si>
  <si>
    <t>Tabla legajadora Oficio, plástico, colores, surtidos con gancho</t>
  </si>
  <si>
    <t>292221</t>
  </si>
  <si>
    <t>Sacapuntas Presentación: caja x 24 unidades, Metálico, Material de hoja: Acero, Forma rectangular</t>
  </si>
  <si>
    <t>292209</t>
  </si>
  <si>
    <t>Saca gancho/grapas metálicas</t>
  </si>
  <si>
    <t>230882</t>
  </si>
  <si>
    <t>Resma Papel bond, tamaño oficio, de 500 hojas, Color blanco, 75 g</t>
  </si>
  <si>
    <t>230881</t>
  </si>
  <si>
    <t>Resma de Papel bond tamaño carta de 500 hojas, Color blanco, 75 gr</t>
  </si>
  <si>
    <t>290514</t>
  </si>
  <si>
    <t>Regla plástica 50cm</t>
  </si>
  <si>
    <t>231825</t>
  </si>
  <si>
    <t>Pistola de silicona De alta calidad. de punta fina, Para barra delgada de 9 mm, Potencia mínima: 15W. Utiliza barras de silicona de tamaño estándar de 0.45 x 4. Diseño ergonómico.</t>
  </si>
  <si>
    <t>303414</t>
  </si>
  <si>
    <t>Pinceles Set Pincel Sintético X 10 unidades Óleo Acrílico Acuarela Pintura</t>
  </si>
  <si>
    <t>290436</t>
  </si>
  <si>
    <t>Pegante líquido, Tipo: Colbón, Envase ergonómico, Volumen de la unidad 250 cc</t>
  </si>
  <si>
    <t>278239</t>
  </si>
  <si>
    <t>Papel Tipo Kraft, presentación: Rollo x 300 m, Gramaje: 90 g., Ancho: 91 cm.</t>
  </si>
  <si>
    <t>249130</t>
  </si>
  <si>
    <t>Papel fommi Paquete de Fomii 1/8 colores surtidos, PAQUETE X 10 UNIDADES.</t>
  </si>
  <si>
    <t>254780</t>
  </si>
  <si>
    <t>Papel Bond X 25 Pliegos De 100 X 70 Cm De 115 Gr</t>
  </si>
  <si>
    <t>240835</t>
  </si>
  <si>
    <t>MICROPUNTA DE TINTA NEGRA, ancho de trazo: 0.5 mm. punta de fibra y tinta húmeda acuosa. Punta de trazo fino indeformable. Caja x 10 unidades</t>
  </si>
  <si>
    <t>240858</t>
  </si>
  <si>
    <t>Marcador Resaltador. Colores surtidos, Tinta no tóxica de alta luminosidad y resistencia, Punta biselada, Presentación: Caja x 10 unidades</t>
  </si>
  <si>
    <t>290357</t>
  </si>
  <si>
    <t>Marcador permanente Tinta negra, punta fina. Caja X 12 unidades. Cuerpo redondo, Punta fina, tinta color negro, Permanente</t>
  </si>
  <si>
    <t>256519</t>
  </si>
  <si>
    <t>MARCADORES PERMANENTES, colores surtidos, caja x 10 unidades. para uso permanente de secado rápido casi sin olor y resistente al agua, Punta resistente redonda</t>
  </si>
  <si>
    <t>292225</t>
  </si>
  <si>
    <t>Marcador Borrable de cuerpo redondo, Punta biselada de 3 anchos de línea, Tinta negra Para tablero blanco o vidrio, Presentación: Caja x 10 unidades</t>
  </si>
  <si>
    <t>240832</t>
  </si>
  <si>
    <t>Marcador borrable colores Surtidos, Caja X 12 unidades. Marcador borrable colores Surtidos Para tableros acrílicos blancos borrables Punta resistente cuadrada</t>
  </si>
  <si>
    <t>272107</t>
  </si>
  <si>
    <t>Marcador Borrable Marcadores acrílicos a base de pintura acrílica. Caja x10 unidades. incluidos: Set de 4 colores surtidos negro, blanco, rojo, azul; Punta: Punta fina o media aprox (0.7 mm a 2 mm)</t>
  </si>
  <si>
    <t>272109</t>
  </si>
  <si>
    <t>Marcador Punta fina colores surtidos Caja x 14 unidades Marcadores permanentes. Marca en: papel, plástico, metal y en la mayoría de las superficies. Colores intensos. Tinta que seca rápidamente, resistente a la decoloración y agua.</t>
  </si>
  <si>
    <t>240834</t>
  </si>
  <si>
    <t>Marcador Punta fina Negro Caja x 14 unidades Marcadores permanentes. Marca en: papel, plástico, metal y en la mayoría de las superficies. Colores intensos. Tinta que seca rápidamente, resistente a la decoloración y agua.</t>
  </si>
  <si>
    <t>Material didáctico para actividades contables, contiene la estructura estandarizada del Plan Único de Cuentas utilizado en Colombia para el registro contable. Incluye la codificación, descripción y dinámica de cada una de las cuentas del activo, pasivo, patrimonio, ingresos, gastos y cuentas de orden.</t>
  </si>
  <si>
    <t>292232</t>
  </si>
  <si>
    <t>Lápiz Negro, No. 2, forma hexagonal ergonómica que facilita el agarre y evita deslizamientos, mina (HB) de trazo oscuro, con borrador libre de látex. CAJA X 12 UND</t>
  </si>
  <si>
    <t>292307</t>
  </si>
  <si>
    <t>Inflador, eléctrico, 2 boquillas, para globos</t>
  </si>
  <si>
    <t>278283</t>
  </si>
  <si>
    <t>Cosedora Grapadora Metálica De Pinza Alicate Calidad Superior</t>
  </si>
  <si>
    <t>260812</t>
  </si>
  <si>
    <t>Grapa estándar galvanizada caja X 5000 unidades</t>
  </si>
  <si>
    <t>252977</t>
  </si>
  <si>
    <t>Folder Blanco Tamaño Carta De 1 1/2 Pulgadas, 3,7cms Ancho</t>
  </si>
  <si>
    <t>290283</t>
  </si>
  <si>
    <t>Escarcha líquida colores surtidos frasco 60 ml</t>
  </si>
  <si>
    <t>249124</t>
  </si>
  <si>
    <t>Cosedora manual, de estructura íntegramente metálica (acero o aleaciones resistentes) papel de hasta 30 hojas, de grapas estándar 26/6</t>
  </si>
  <si>
    <t>290321</t>
  </si>
  <si>
    <t>LÁPICES DE COLORES. de madera 100% reforestada fácil tajado, núcleos suaves, pigmentos de alta calidad, alto contenido de cera para un trazo más suave y un mayor y mejor cubrimiento, alto contenido de pigmento, mina gruesa de mínimo 3mm. caja x 12 unidades</t>
  </si>
  <si>
    <t>292272</t>
  </si>
  <si>
    <t>Clip estándar jumbo Caja X 100 unidades</t>
  </si>
  <si>
    <t>292273</t>
  </si>
  <si>
    <t>Producto editableClip mariposa caja X 50 unidades</t>
  </si>
  <si>
    <t>290227</t>
  </si>
  <si>
    <t>Cinta doble Cara Extra Fuerte Vhb Transparente 3m 19mmx5m</t>
  </si>
  <si>
    <t>272136</t>
  </si>
  <si>
    <t>Cinta de enmascarar, ancho 18mm, rollo x 40 metros</t>
  </si>
  <si>
    <t>235764</t>
  </si>
  <si>
    <t>Cinta Adhesiva transparente 45 X 40 mts ancha.</t>
  </si>
  <si>
    <t>235926</t>
  </si>
  <si>
    <t>Cartulina 1/8 colores surtidos PAQUETE X 10 UNIDADES. colores de 85cmX25cm</t>
  </si>
  <si>
    <t>275471</t>
  </si>
  <si>
    <t>Cartulina colores surtidos Tamaño: Pliego 70 x 100 cm. Colores surtidos</t>
  </si>
  <si>
    <t>Cartulina octavos x 100 unidades Tamaño formato octavo, equivalente a aproximadamente 22 cm x 28 cm, gramaje: Entre 150 g/m² y 180 g/m² según disponibilidad, colores surtidos, superficie lisa y uniforme, rígida, resistente y apta para escritura, impresión y manualidades. Apta para lápiz, marcador, colores, témpera, pegantes y otros materiales escolares. Presentación: Paquete por 100 unidades, empacado y sellado.</t>
  </si>
  <si>
    <t>272123</t>
  </si>
  <si>
    <t>Carpeta Blanca cuatro (4) aletas, Con una cubierta anterior y una posterior con solapas laterales que doblan al interior. Incluye grafado para 4 pliegues sobre cada solapa. La distancia entre los pliegues es de 1 cm., para obtener diferentes capacidades de almacenamiento. Debe tener un acabado liso, suave, libre de partículas abrasivas u otras imperfecciones. Se recomienda el uso de propalcote desacidificada de mínimo 240 g/m2 o de propalcote de 300 g/m2 o 320 g/m2. Y que cumplan con las siguientes dimensiones., Solapas laterales: (4 aletas) Gramaje 320 Gr. Medidas: Ancho en totalidad 69.5 cm X largo 69,5 cm Base central: ancho 22 Cm X largo 37 cm Base aletas laterales: ancho 25 Cm X largo 35 cm. Base aletas superiores: ancho 22 Cm X largo 17 cm. Grafas (5) con capacidad de hasta 400 folios. Material: Cartulina libre de pulpas lignificadas o recicladas propalcote 320g, Rotuladas con logo del SENA y nombre del Centro (REGIONAL HUILA - Centro de Formación Agroindustrial La Angostura) 1 sola tinta. Recubrimiento: PH neutro o con reserva alcalina.</t>
  </si>
  <si>
    <t>275468</t>
  </si>
  <si>
    <t>CAJA PARA ARCHIVOS CENTRAL ref: x-200, ref: x-200, rótulo externo de identificación material de construcción: cartón corrugado de pared sencilla con recubrimiento interno especificaciones técnicas, resistencia a la compresión vertical el cartón corrugado debe tener una resistencia a la compresión vertical (rcv) de 790 930 kgf/m</t>
  </si>
  <si>
    <t>244261</t>
  </si>
  <si>
    <t>Borrador para tablero acrílico, en madera o plástico</t>
  </si>
  <si>
    <t>BOLÍGRAFO NEGRO, caja por 12 unidades, barril triangular transparente, punta de 1.0 mm (o 0.7 mm fino) y sistema de tinta InkJoy, secado rápido, tapa con clip y tinta negra intensa.</t>
  </si>
  <si>
    <t>239037</t>
  </si>
  <si>
    <t>Block papel Iris tamaño, oficio X 30 hojas</t>
  </si>
  <si>
    <t>298522</t>
  </si>
  <si>
    <t>Block cuadriculado 1/8. Block de papel cuadriculado tamaño oficio X 80 hojas</t>
  </si>
  <si>
    <t>275696</t>
  </si>
  <si>
    <t>Bisturí material del mango plástico, cuchilla en acero inoxidable, medida de cuchilla es de 18 mm con traba de seguridad.</t>
  </si>
  <si>
    <t>290628</t>
  </si>
  <si>
    <t>Billetes y monedas didácticos pesos colombianos, impresos a color por ambos lados denominaciones $ 1000, $2000, $5000, $10.000, $20.000, $50.000 y $100.000. Medidas aproximadas 12 cm x 7 cm. Incluye 94 unidades de billetes surtidos y 80 unidades de monedas de cartón surtidas.</t>
  </si>
  <si>
    <t>249127</t>
  </si>
  <si>
    <t>Barras de pegante libres de ácido. Pegante Barra 40 Gr</t>
  </si>
  <si>
    <t>292165</t>
  </si>
  <si>
    <t>Barra Silicona Delgada X 50</t>
  </si>
  <si>
    <t>292251</t>
  </si>
  <si>
    <t>BANDERITAS, X5, COLORES, 1.2X4.5CM X125HJS</t>
  </si>
  <si>
    <t>292203</t>
  </si>
  <si>
    <t>Perforadora semi industrial 40 hojas Capacidad de perforado: 40 hojas de 75 gramos Ancho entre huecos: 80 milímetros Cuenta con guía de papel Fabricada toda en metal 2 huecos</t>
  </si>
  <si>
    <t>290438</t>
  </si>
  <si>
    <t>Pincel plano pelo de marta No. 12</t>
  </si>
  <si>
    <t>237623</t>
  </si>
  <si>
    <t>Cinta de tela adhesiva, superficie rotulable, para refuerzo y reparación de lomos y cubiertas, material lino libre de ácido, teñido con colores naturales, grosor 2 centímetros.</t>
  </si>
  <si>
    <t>292213</t>
  </si>
  <si>
    <t>Tinta o almohadilla para sellos de radicación trámite de documentos</t>
  </si>
  <si>
    <t>Sello radiadores de correspondencia, recibida, despachada, fecha hora, entrante, saliente, Número de radicado</t>
  </si>
  <si>
    <t>244571</t>
  </si>
  <si>
    <t>Gancho Clip metálico recubierto en plástico en diferentes colores estándar caja x 100</t>
  </si>
  <si>
    <t>298052</t>
  </si>
  <si>
    <t>Caja para archivo tipo troquelada X 300, resistente, abertura para sujetar y transportar con facilidad, cartón nuevo calibre 720, color Kraft, sistema ideal para evitar que se deforme o se desfonde caja con tapa. Medidas: Alto 26 Centímetro, largo 40 Centímetro. Ancho 30 centímetros.</t>
  </si>
  <si>
    <t>292245</t>
  </si>
  <si>
    <t>Caja para archivo tipo troquelada x 100 en cartón corrugado tipo nevera reglamentaria en cartón C 650, tamaño: alto 40 cm, ancho 10.5 cm, largo 26 cm, rotulada, sistema doble ventilación</t>
  </si>
  <si>
    <t>292167</t>
  </si>
  <si>
    <t>Carpeta archivo 2 tapas con refuerzo, Juego de tapas archivo yute, refuerzo tela tamaño oficio, largo 26 centímetros, ancho 37 centímetros, espesor 1 milímetro, normativa del archivo general, entidades públicas y privadas, incluye tapa y contratapa con aleta vertical. Contratapa larga 39 centímetros (37 centímetros más 2 centímetros de aleta; ancho 26 centímetros.)</t>
  </si>
  <si>
    <t>292178</t>
  </si>
  <si>
    <t>Notas Adhesivas X 400 Hojas 76x76 mm</t>
  </si>
  <si>
    <t>CODIGO</t>
  </si>
  <si>
    <t xml:space="preserve">CANTIDAD
TOTAL </t>
  </si>
  <si>
    <t>ARTICULACION</t>
  </si>
  <si>
    <t xml:space="preserve">3425511 VENTA DE PRODUCTOS EN LINEA </t>
  </si>
  <si>
    <t>Total materiales</t>
  </si>
  <si>
    <t>Billetes y monedas didácticos pesos colombianos, impresos a color por ambos lados denominaciones $1000, $2000, $5000, $10.000, $20.000, $50.000 y $100.000. Medidas aproximadas 12 cm x 7 cm. Incluye 94 unidades de billetes surtidos y 80 unidades de monedas de cartón surtidas.</t>
  </si>
  <si>
    <t>Carpeta Blanca cuatro (4) aletas, Con una cubierta anterior y una posterior con solapas laterales que doblan al interior. Incluye grafado para 4 pliegues sobre cada solapa. La distancia entre los pliegues es de 1 cm., para obtener diferentes capacidades de almacenamiento. Debe tener un acabado liso, suave, libre de partículas abrasivas u otras imperfecciones. Se recomienda el uso de propalcore desacidificada de mínimo 240 g/m2 o de propalcote de 300 g/m2 o 320 g/m2. Y que cumplan con las siguientes dimensiones., Solapas laterales: (4 aletas) Gramaje 320 Gr. Medidas: Ancho en totalidad 69.5 cm X largo 69,5 cm Base central: ancho 22 Cm X largo 37 cm Base aletas laterales: ancho 25 Cm X largo 35 cm. Base aletas superiores: ancho 22 Cm X largo 17 cm. Grafas (5) con capacidad de hasta 400 folios. Material: Cartulina libre de pulpas lignificadas o recicladas propalcote 320g, Rotuladas con logo del SENA y nombre del Centro (REGIONAL HUILA - Centro de Formación Agroindustrial La Angostura) 1 sola tinta. Recubrimiento: PH neutro o con reserva alcalina.</t>
  </si>
  <si>
    <t>Resma de Papel bond tamaño carta, de 500 hojas, Color blanco, 75 gr</t>
  </si>
  <si>
    <t>Rompecabezas Fauna Silvestre 1000pz</t>
  </si>
  <si>
    <t>Formato pagare paquete x 80 unidades</t>
  </si>
  <si>
    <t>formato contrato de trabajo a término fijo, paquete, x 12 , 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</si>
</sst>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quot;;@"/>
  </numFmts>
  <fonts count="11" x14ac:knownFonts="1">
    <font>
      <sz val="11"/>
      <color indexed="8"/>
      <name val="Aptos Narrow"/>
      <family val="2"/>
      <scheme val="minor"/>
    </font>
    <font>
      <b/>
      <sz val="11"/>
      <color indexed="8"/>
      <name val="Calibri"/>
      <family val="2"/>
    </font>
    <font>
      <b/>
      <sz val="8"/>
      <color rgb="FF000000"/>
      <name val="Aptos Narrow"/>
      <family val="2"/>
      <scheme val="minor"/>
    </font>
    <font>
      <b/>
      <sz val="8"/>
      <color indexed="8"/>
      <name val="Aptos Narrow"/>
      <family val="2"/>
      <scheme val="minor"/>
    </font>
    <font>
      <sz val="10"/>
      <color indexed="8"/>
      <name val="Aptos Narrow"/>
      <family val="2"/>
      <scheme val="minor"/>
    </font>
    <font>
      <sz val="10"/>
      <color theme="1"/>
      <name val="Aptos Narrow"/>
      <family val="2"/>
      <scheme val="minor"/>
    </font>
    <font>
      <b/>
      <sz val="8"/>
      <color indexed="8"/>
      <name val="Calibri"/>
      <family val="2"/>
    </font>
    <font>
      <b/>
      <sz val="10"/>
      <color indexed="8"/>
      <name val="Aptos Narrow"/>
      <family val="2"/>
      <scheme val="minor"/>
    </font>
    <font>
      <sz val="9"/>
      <color indexed="81"/>
      <name val="Tahoma"/>
      <family val="2"/>
    </font>
    <font>
      <b/>
      <sz val="9"/>
      <color indexed="81"/>
      <name val="Tahoma"/>
      <family val="2"/>
    </font>
    <font>
      <b/>
      <sz val="11"/>
      <color indexed="8"/>
      <name val="Aptos Narrow"/>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2CEEF"/>
        <bgColor indexed="64"/>
      </patternFill>
    </fill>
    <fill>
      <patternFill patternType="solid">
        <fgColor rgb="FF94DCF8"/>
        <bgColor indexed="64"/>
      </patternFill>
    </fill>
    <fill>
      <patternFill patternType="solid">
        <fgColor rgb="FF83E28E"/>
        <bgColor indexed="64"/>
      </patternFill>
    </fill>
    <fill>
      <patternFill patternType="solid">
        <fgColor theme="2"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0" fillId="0" borderId="0" xfId="0" applyAlignment="1">
      <alignment horizontal="center"/>
    </xf>
    <xf numFmtId="49"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4" fillId="0" borderId="1" xfId="0" applyFont="1" applyBorder="1" applyAlignment="1">
      <alignment horizontal="center" vertical="center"/>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5" fillId="7" borderId="1" xfId="0" applyFont="1" applyFill="1" applyBorder="1" applyAlignment="1">
      <alignment vertical="top" wrapText="1"/>
    </xf>
    <xf numFmtId="0" fontId="5" fillId="8" borderId="1" xfId="0" applyFont="1" applyFill="1" applyBorder="1" applyAlignment="1">
      <alignment horizontal="center" vertical="center" wrapText="1"/>
    </xf>
    <xf numFmtId="1" fontId="5" fillId="7"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top" wrapText="1"/>
    </xf>
    <xf numFmtId="1" fontId="5" fillId="0" borderId="1" xfId="0" applyNumberFormat="1" applyFont="1" applyBorder="1" applyAlignment="1">
      <alignment horizontal="center" vertical="center"/>
    </xf>
    <xf numFmtId="0" fontId="0" fillId="7" borderId="0" xfId="0" applyFill="1" applyAlignment="1">
      <alignment horizontal="center"/>
    </xf>
    <xf numFmtId="0" fontId="0" fillId="7" borderId="0" xfId="0" applyFill="1" applyAlignment="1">
      <alignment horizontal="center" vertical="center"/>
    </xf>
    <xf numFmtId="0" fontId="0" fillId="7" borderId="0" xfId="0" applyFill="1"/>
    <xf numFmtId="1" fontId="0" fillId="9" borderId="0" xfId="0" applyNumberFormat="1" applyFill="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10" fillId="0" borderId="0" xfId="0" applyFont="1" applyAlignment="1">
      <alignment horizontal="right"/>
    </xf>
    <xf numFmtId="0" fontId="0" fillId="0" borderId="5" xfId="0" applyBorder="1"/>
    <xf numFmtId="0" fontId="2" fillId="8" borderId="7"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0" fillId="8" borderId="7" xfId="0" applyFill="1" applyBorder="1" applyAlignment="1">
      <alignment horizontal="center" vertical="center" wrapText="1"/>
    </xf>
    <xf numFmtId="49"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6" fillId="10" borderId="7"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0" fillId="0" borderId="7" xfId="0" applyBorder="1" applyAlignment="1">
      <alignment horizontal="center" vertical="center"/>
    </xf>
    <xf numFmtId="0" fontId="0" fillId="0" borderId="0" xfId="0" applyAlignment="1">
      <alignment horizontal="center" vertical="center" wrapText="1"/>
    </xf>
    <xf numFmtId="0" fontId="0" fillId="0" borderId="7" xfId="0" applyBorder="1" applyAlignment="1">
      <alignment horizontal="center"/>
    </xf>
    <xf numFmtId="49" fontId="0" fillId="0" borderId="7" xfId="0" applyNumberFormat="1" applyBorder="1"/>
    <xf numFmtId="0" fontId="0" fillId="0" borderId="7" xfId="0" applyBorder="1"/>
    <xf numFmtId="164" fontId="0" fillId="0" borderId="7" xfId="0" applyNumberFormat="1" applyBorder="1" applyAlignment="1">
      <alignment horizontal="center"/>
    </xf>
    <xf numFmtId="164" fontId="0" fillId="0" borderId="7" xfId="0" applyNumberFormat="1" applyBorder="1"/>
    <xf numFmtId="164" fontId="0" fillId="0" borderId="0" xfId="0" applyNumberFormat="1"/>
    <xf numFmtId="0" fontId="0" fillId="0" borderId="1" xfId="0" applyBorder="1"/>
    <xf numFmtId="0" fontId="0" fillId="7" borderId="1" xfId="0" applyFill="1" applyBorder="1"/>
    <xf numFmtId="164" fontId="0" fillId="0" borderId="7" xfId="0" applyNumberFormat="1" applyBorder="1" applyAlignment="1">
      <alignment horizontal="center" vertical="center"/>
    </xf>
    <xf numFmtId="0" fontId="7" fillId="13" borderId="7" xfId="0" applyFont="1" applyFill="1" applyBorder="1" applyAlignment="1">
      <alignment horizontal="center" vertical="center" wrapText="1"/>
    </xf>
    <xf numFmtId="164" fontId="0" fillId="13" borderId="7" xfId="0" applyNumberFormat="1" applyFill="1" applyBorder="1" applyAlignment="1">
      <alignment horizontal="center"/>
    </xf>
    <xf numFmtId="0" fontId="0" fillId="13" borderId="7" xfId="0" applyFill="1" applyBorder="1" applyAlignment="1">
      <alignment horizontal="center"/>
    </xf>
    <xf numFmtId="1" fontId="10" fillId="13" borderId="0" xfId="0" applyNumberFormat="1" applyFont="1" applyFill="1" applyAlignment="1">
      <alignment horizontal="center"/>
    </xf>
    <xf numFmtId="0" fontId="0" fillId="13" borderId="0" xfId="0" applyFill="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BDBB9125-6F47-4380-B026-2589A829F6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C5A87C-32AC-494B-9CCE-E960A14CCA6A}">
  <we:reference id="WA200009404" version="1.0.0.8" store="Omex" storeType="OMEX"/>
  <we:alternateReferences>
    <we:reference id="WA200009404" version="1.0.0.8" store="WA200009404" storeType="OMEX"/>
  </we:alternateReferences>
  <we:properties>
    <we:property name="claude.fileId" value="&quot;97fb4e49-50fc-4657-a95d-9553c8fe5a2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0"/>
  <sheetViews>
    <sheetView tabSelected="1" workbookViewId="0">
      <selection activeCell="C3" sqref="C3"/>
    </sheetView>
  </sheetViews>
  <sheetFormatPr baseColWidth="10" defaultColWidth="9.140625" defaultRowHeight="15" outlineLevelCol="1" x14ac:dyDescent="0.25"/>
  <cols>
    <col min="2" max="2" width="13.85546875" customWidth="1"/>
    <col min="3" max="3" width="77.28515625" customWidth="1"/>
    <col min="4" max="6" width="0" hidden="1" customWidth="1"/>
    <col min="7" max="7" width="10.85546875" style="1" customWidth="1"/>
    <col min="8" max="8" width="9.85546875" customWidth="1"/>
    <col min="9" max="9" width="7.7109375" customWidth="1"/>
    <col min="10" max="20" width="3" customWidth="1" outlineLevel="1"/>
    <col min="21" max="21" width="3.42578125" style="51" customWidth="1" outlineLevel="1"/>
    <col min="22" max="22" width="4" style="51" customWidth="1" outlineLevel="1"/>
    <col min="23" max="35" width="2.7109375" customWidth="1"/>
    <col min="36" max="39" width="2.7109375" customWidth="1" outlineLevel="1"/>
    <col min="40" max="49" width="2.7109375" customWidth="1"/>
  </cols>
  <sheetData>
    <row r="1" spans="1:51" x14ac:dyDescent="0.25">
      <c r="J1" s="52" t="s">
        <v>0</v>
      </c>
      <c r="K1" s="53"/>
      <c r="L1" s="53"/>
      <c r="M1" s="53"/>
      <c r="N1" s="53"/>
      <c r="O1" s="53"/>
      <c r="P1" s="53"/>
      <c r="Q1" s="53"/>
      <c r="R1" s="53"/>
      <c r="S1" s="53"/>
      <c r="T1" s="53"/>
      <c r="U1" s="53"/>
      <c r="V1" s="53"/>
      <c r="W1" s="54" t="s">
        <v>1</v>
      </c>
      <c r="X1" s="55"/>
      <c r="Y1" s="55"/>
      <c r="Z1" s="55"/>
      <c r="AA1" s="55"/>
      <c r="AB1" s="55"/>
      <c r="AC1" s="55"/>
      <c r="AD1" s="55"/>
      <c r="AE1" s="55"/>
      <c r="AF1" s="55"/>
      <c r="AG1" s="55"/>
      <c r="AH1" s="55"/>
      <c r="AI1" s="55"/>
      <c r="AJ1" s="55"/>
      <c r="AK1" s="55"/>
      <c r="AL1" s="55"/>
      <c r="AM1" s="55"/>
      <c r="AN1" s="55"/>
      <c r="AO1" s="55"/>
      <c r="AP1" s="55"/>
      <c r="AQ1" s="55"/>
      <c r="AR1" s="55"/>
      <c r="AS1" s="55"/>
      <c r="AT1" s="55"/>
      <c r="AU1" s="55"/>
      <c r="AV1" s="56"/>
      <c r="AW1" s="26"/>
    </row>
    <row r="2" spans="1:51" s="37" customFormat="1" ht="50.25" customHeight="1" x14ac:dyDescent="0.25">
      <c r="A2" s="30" t="s">
        <v>2</v>
      </c>
      <c r="B2" s="30" t="s">
        <v>3</v>
      </c>
      <c r="C2" s="31" t="s">
        <v>4</v>
      </c>
      <c r="D2" s="31" t="s">
        <v>5</v>
      </c>
      <c r="E2" s="31" t="s">
        <v>6</v>
      </c>
      <c r="F2" s="31" t="s">
        <v>7</v>
      </c>
      <c r="G2" s="31" t="s">
        <v>8</v>
      </c>
      <c r="H2" s="31" t="s">
        <v>9</v>
      </c>
      <c r="I2" s="31" t="s">
        <v>10</v>
      </c>
      <c r="J2" s="32" t="s">
        <v>11</v>
      </c>
      <c r="K2" s="32" t="s">
        <v>12</v>
      </c>
      <c r="L2" s="33" t="s">
        <v>13</v>
      </c>
      <c r="M2" s="34" t="s">
        <v>14</v>
      </c>
      <c r="N2" s="34" t="s">
        <v>15</v>
      </c>
      <c r="O2" s="34" t="s">
        <v>16</v>
      </c>
      <c r="P2" s="34" t="s">
        <v>17</v>
      </c>
      <c r="Q2" s="35" t="s">
        <v>18</v>
      </c>
      <c r="R2" s="35" t="s">
        <v>19</v>
      </c>
      <c r="S2" s="35" t="s">
        <v>20</v>
      </c>
      <c r="T2" s="35" t="s">
        <v>21</v>
      </c>
      <c r="U2" s="47" t="s">
        <v>22</v>
      </c>
      <c r="V2" s="47" t="s">
        <v>23</v>
      </c>
      <c r="W2" s="28" t="s">
        <v>24</v>
      </c>
      <c r="X2" s="27" t="s">
        <v>25</v>
      </c>
      <c r="Y2" s="27" t="s">
        <v>26</v>
      </c>
      <c r="Z2" s="27" t="s">
        <v>27</v>
      </c>
      <c r="AA2" s="27" t="s">
        <v>28</v>
      </c>
      <c r="AB2" s="27" t="s">
        <v>29</v>
      </c>
      <c r="AC2" s="27" t="s">
        <v>30</v>
      </c>
      <c r="AD2" s="27" t="s">
        <v>31</v>
      </c>
      <c r="AE2" s="27" t="s">
        <v>32</v>
      </c>
      <c r="AF2" s="27" t="s">
        <v>33</v>
      </c>
      <c r="AG2" s="28" t="s">
        <v>34</v>
      </c>
      <c r="AH2" s="28" t="s">
        <v>35</v>
      </c>
      <c r="AI2" s="28" t="s">
        <v>36</v>
      </c>
      <c r="AJ2" s="28" t="s">
        <v>37</v>
      </c>
      <c r="AK2" s="28" t="s">
        <v>38</v>
      </c>
      <c r="AL2" s="28" t="s">
        <v>39</v>
      </c>
      <c r="AM2" s="28" t="s">
        <v>40</v>
      </c>
      <c r="AN2" s="28" t="s">
        <v>41</v>
      </c>
      <c r="AO2" s="28" t="s">
        <v>42</v>
      </c>
      <c r="AP2" s="28" t="s">
        <v>43</v>
      </c>
      <c r="AQ2" s="28" t="s">
        <v>44</v>
      </c>
      <c r="AR2" s="28" t="s">
        <v>45</v>
      </c>
      <c r="AS2" s="28" t="s">
        <v>46</v>
      </c>
      <c r="AT2" s="28" t="s">
        <v>47</v>
      </c>
      <c r="AU2" s="28" t="s">
        <v>48</v>
      </c>
      <c r="AV2" s="28" t="s">
        <v>49</v>
      </c>
      <c r="AW2" s="28" t="s">
        <v>50</v>
      </c>
      <c r="AX2" s="29" t="s">
        <v>51</v>
      </c>
      <c r="AY2" s="36" t="s">
        <v>52</v>
      </c>
    </row>
    <row r="3" spans="1:51" x14ac:dyDescent="0.25">
      <c r="A3" s="38">
        <v>27</v>
      </c>
      <c r="B3" s="39" t="s">
        <v>103</v>
      </c>
      <c r="C3" s="40" t="s">
        <v>104</v>
      </c>
      <c r="D3" s="40" t="s">
        <v>55</v>
      </c>
      <c r="E3" s="40" t="s">
        <v>55</v>
      </c>
      <c r="F3" s="40" t="s">
        <v>55</v>
      </c>
      <c r="G3" s="38">
        <v>7</v>
      </c>
      <c r="H3" s="40">
        <v>29411.759999999998</v>
      </c>
      <c r="I3" s="40">
        <v>0</v>
      </c>
      <c r="J3" s="41" t="str" cm="1">
        <f t="array" ref="J3">IF($V3="","",IFERROR(INDEX(Articulacion!G:G,$V3),0))</f>
        <v/>
      </c>
      <c r="K3" s="41" t="str" cm="1">
        <f t="array" ref="K3">IF($V3="","",IFERROR(INDEX(Articulacion!H:H,$V3),0))</f>
        <v/>
      </c>
      <c r="L3" s="41" t="str" cm="1">
        <f t="array" ref="L3">IF($V3="","",IFERROR(INDEX(Articulacion!I:I,$V3),0))</f>
        <v/>
      </c>
      <c r="M3" s="41" t="str" cm="1">
        <f t="array" ref="M3">IF($V3="","",IFERROR(INDEX(Articulacion!J:J,$V3),0))</f>
        <v/>
      </c>
      <c r="N3" s="41" t="str" cm="1">
        <f t="array" ref="N3">IF($V3="","",IFERROR(INDEX(Articulacion!K:K,$V3),0))</f>
        <v/>
      </c>
      <c r="O3" s="41" t="str" cm="1">
        <f t="array" ref="O3">IF($V3="","",IFERROR(INDEX(Articulacion!L:L,$V3),0))</f>
        <v/>
      </c>
      <c r="P3" s="41" t="str" cm="1">
        <f t="array" ref="P3">IF($V3="","",IFERROR(INDEX(Articulacion!M:M,$V3),0))</f>
        <v/>
      </c>
      <c r="Q3" s="41" t="str" cm="1">
        <f t="array" ref="Q3">IF($V3="","",IFERROR(INDEX(Articulacion!N:N,$V3),0))</f>
        <v/>
      </c>
      <c r="R3" s="41" t="str" cm="1">
        <f t="array" ref="R3">IF($V3="","",IFERROR(INDEX(Articulacion!O:O,$V3),0))</f>
        <v/>
      </c>
      <c r="S3" s="41" t="str" cm="1">
        <f t="array" ref="S3">IF($V3="","",IFERROR(INDEX(Articulacion!P:P,$V3),0))</f>
        <v/>
      </c>
      <c r="T3" s="41" t="str" cm="1">
        <f t="array" ref="T3">IF($V3="","",IFERROR(INDEX(Articulacion!Q:Q,$V3),0))</f>
        <v/>
      </c>
      <c r="U3" s="48">
        <f t="shared" ref="U3:U34" si="0">IF($V3="",0,SUM(J3:T3))</f>
        <v>0</v>
      </c>
      <c r="V3" s="49"/>
      <c r="W3" s="44"/>
      <c r="X3" s="44"/>
      <c r="Y3" s="44"/>
      <c r="Z3" s="44"/>
      <c r="AA3" s="44"/>
      <c r="AB3" s="44"/>
      <c r="AC3" s="44"/>
      <c r="AD3" s="45"/>
      <c r="AE3" s="44"/>
      <c r="AF3" s="44"/>
      <c r="AG3" s="44"/>
      <c r="AH3" s="44"/>
      <c r="AI3" s="44"/>
      <c r="AJ3" s="44"/>
      <c r="AK3" s="44"/>
      <c r="AL3" s="44"/>
      <c r="AM3" s="44"/>
      <c r="AN3" s="44"/>
      <c r="AO3" s="44"/>
      <c r="AP3" s="44"/>
      <c r="AQ3" s="44">
        <v>3</v>
      </c>
      <c r="AR3" s="44">
        <v>4</v>
      </c>
      <c r="AS3" s="44"/>
      <c r="AT3" s="44"/>
      <c r="AU3" s="44"/>
      <c r="AV3" s="44"/>
      <c r="AW3" s="44"/>
      <c r="AX3" s="46">
        <f>SUM(W3:AW3)</f>
        <v>7</v>
      </c>
      <c r="AY3" s="42">
        <f>G3-U3-AX3</f>
        <v>0</v>
      </c>
    </row>
    <row r="4" spans="1:51" x14ac:dyDescent="0.25">
      <c r="A4" s="38">
        <v>84</v>
      </c>
      <c r="B4" s="39" t="s">
        <v>213</v>
      </c>
      <c r="C4" s="40" t="s">
        <v>214</v>
      </c>
      <c r="D4" s="40" t="s">
        <v>55</v>
      </c>
      <c r="E4" s="40" t="s">
        <v>55</v>
      </c>
      <c r="F4" s="40" t="s">
        <v>55</v>
      </c>
      <c r="G4" s="38">
        <v>17</v>
      </c>
      <c r="H4" s="40">
        <v>4621.8500000000004</v>
      </c>
      <c r="I4" s="40">
        <v>0</v>
      </c>
      <c r="J4" s="41" t="str" cm="1">
        <f t="array" ref="J4">IF($V4="","",IFERROR(INDEX(Articulacion!G:G,$V4),0))</f>
        <v/>
      </c>
      <c r="K4" s="41" t="str" cm="1">
        <f t="array" ref="K4">IF($V4="","",IFERROR(INDEX(Articulacion!H:H,$V4),0))</f>
        <v/>
      </c>
      <c r="L4" s="41" t="str" cm="1">
        <f t="array" ref="L4">IF($V4="","",IFERROR(INDEX(Articulacion!I:I,$V4),0))</f>
        <v/>
      </c>
      <c r="M4" s="41" t="str" cm="1">
        <f t="array" ref="M4">IF($V4="","",IFERROR(INDEX(Articulacion!J:J,$V4),0))</f>
        <v/>
      </c>
      <c r="N4" s="41" t="str" cm="1">
        <f t="array" ref="N4">IF($V4="","",IFERROR(INDEX(Articulacion!K:K,$V4),0))</f>
        <v/>
      </c>
      <c r="O4" s="41" t="str" cm="1">
        <f t="array" ref="O4">IF($V4="","",IFERROR(INDEX(Articulacion!L:L,$V4),0))</f>
        <v/>
      </c>
      <c r="P4" s="41" t="str" cm="1">
        <f t="array" ref="P4">IF($V4="","",IFERROR(INDEX(Articulacion!M:M,$V4),0))</f>
        <v/>
      </c>
      <c r="Q4" s="41" t="str" cm="1">
        <f t="array" ref="Q4">IF($V4="","",IFERROR(INDEX(Articulacion!N:N,$V4),0))</f>
        <v/>
      </c>
      <c r="R4" s="41" t="str" cm="1">
        <f t="array" ref="R4">IF($V4="","",IFERROR(INDEX(Articulacion!O:O,$V4),0))</f>
        <v/>
      </c>
      <c r="S4" s="41" t="str" cm="1">
        <f t="array" ref="S4">IF($V4="","",IFERROR(INDEX(Articulacion!P:P,$V4),0))</f>
        <v/>
      </c>
      <c r="T4" s="41" t="str" cm="1">
        <f t="array" ref="T4">IF($V4="","",IFERROR(INDEX(Articulacion!Q:Q,$V4),0))</f>
        <v/>
      </c>
      <c r="U4" s="48">
        <f t="shared" si="0"/>
        <v>0</v>
      </c>
      <c r="V4" s="49"/>
      <c r="W4" s="40"/>
      <c r="X4" s="40"/>
      <c r="Y4" s="40"/>
      <c r="Z4" s="40"/>
      <c r="AA4" s="40"/>
      <c r="AB4" s="40"/>
      <c r="AC4" s="40"/>
      <c r="AD4" s="40"/>
      <c r="AE4" s="40"/>
      <c r="AF4" s="40"/>
      <c r="AG4" s="40">
        <v>1</v>
      </c>
      <c r="AH4" s="40">
        <v>1</v>
      </c>
      <c r="AI4" s="40">
        <v>1</v>
      </c>
      <c r="AJ4" s="40">
        <v>1</v>
      </c>
      <c r="AK4" s="40">
        <v>1</v>
      </c>
      <c r="AL4" s="40">
        <v>1</v>
      </c>
      <c r="AM4" s="40">
        <v>1</v>
      </c>
      <c r="AN4" s="40">
        <v>2</v>
      </c>
      <c r="AO4" s="40">
        <v>1</v>
      </c>
      <c r="AP4" s="40">
        <v>1</v>
      </c>
      <c r="AQ4" s="40">
        <v>1</v>
      </c>
      <c r="AR4" s="40">
        <v>1</v>
      </c>
      <c r="AS4" s="40">
        <v>1</v>
      </c>
      <c r="AT4" s="40">
        <v>1</v>
      </c>
      <c r="AU4" s="40">
        <v>1</v>
      </c>
      <c r="AV4" s="40">
        <v>1</v>
      </c>
      <c r="AW4" s="40"/>
      <c r="AX4" s="46">
        <f t="shared" ref="AX4:AX67" si="1">SUM(W4:AW4)</f>
        <v>17</v>
      </c>
      <c r="AY4" s="42">
        <f t="shared" ref="AY4:AY67" si="2">G4-U4-AX4</f>
        <v>0</v>
      </c>
    </row>
    <row r="5" spans="1:51" x14ac:dyDescent="0.25">
      <c r="A5" s="38">
        <v>83</v>
      </c>
      <c r="B5" s="39" t="s">
        <v>211</v>
      </c>
      <c r="C5" s="40" t="s">
        <v>212</v>
      </c>
      <c r="D5" s="40" t="s">
        <v>55</v>
      </c>
      <c r="E5" s="40" t="s">
        <v>55</v>
      </c>
      <c r="F5" s="40" t="s">
        <v>55</v>
      </c>
      <c r="G5" s="38">
        <v>3</v>
      </c>
      <c r="H5" s="40">
        <v>1680.67</v>
      </c>
      <c r="I5" s="40">
        <v>0</v>
      </c>
      <c r="J5" s="41" t="str" cm="1">
        <f t="array" ref="J5">IF($V5="","",IFERROR(INDEX(Articulacion!G:G,$V5),0))</f>
        <v/>
      </c>
      <c r="K5" s="41" t="str" cm="1">
        <f t="array" ref="K5">IF($V5="","",IFERROR(INDEX(Articulacion!H:H,$V5),0))</f>
        <v/>
      </c>
      <c r="L5" s="41" t="str" cm="1">
        <f t="array" ref="L5">IF($V5="","",IFERROR(INDEX(Articulacion!I:I,$V5),0))</f>
        <v/>
      </c>
      <c r="M5" s="41" t="str" cm="1">
        <f t="array" ref="M5">IF($V5="","",IFERROR(INDEX(Articulacion!J:J,$V5),0))</f>
        <v/>
      </c>
      <c r="N5" s="41" t="str" cm="1">
        <f t="array" ref="N5">IF($V5="","",IFERROR(INDEX(Articulacion!K:K,$V5),0))</f>
        <v/>
      </c>
      <c r="O5" s="41" t="str" cm="1">
        <f t="array" ref="O5">IF($V5="","",IFERROR(INDEX(Articulacion!L:L,$V5),0))</f>
        <v/>
      </c>
      <c r="P5" s="41" t="str" cm="1">
        <f t="array" ref="P5">IF($V5="","",IFERROR(INDEX(Articulacion!M:M,$V5),0))</f>
        <v/>
      </c>
      <c r="Q5" s="41" t="str" cm="1">
        <f t="array" ref="Q5">IF($V5="","",IFERROR(INDEX(Articulacion!N:N,$V5),0))</f>
        <v/>
      </c>
      <c r="R5" s="41" t="str" cm="1">
        <f t="array" ref="R5">IF($V5="","",IFERROR(INDEX(Articulacion!O:O,$V5),0))</f>
        <v/>
      </c>
      <c r="S5" s="41" t="str" cm="1">
        <f t="array" ref="S5">IF($V5="","",IFERROR(INDEX(Articulacion!P:P,$V5),0))</f>
        <v/>
      </c>
      <c r="T5" s="41" t="str" cm="1">
        <f t="array" ref="T5">IF($V5="","",IFERROR(INDEX(Articulacion!Q:Q,$V5),0))</f>
        <v/>
      </c>
      <c r="U5" s="48">
        <f t="shared" si="0"/>
        <v>0</v>
      </c>
      <c r="V5" s="49"/>
      <c r="W5" s="40"/>
      <c r="X5" s="40"/>
      <c r="Y5" s="40"/>
      <c r="Z5" s="40"/>
      <c r="AA5" s="40"/>
      <c r="AB5" s="40">
        <v>1</v>
      </c>
      <c r="AC5" s="40">
        <v>1</v>
      </c>
      <c r="AD5" s="40">
        <v>1</v>
      </c>
      <c r="AE5" s="40"/>
      <c r="AF5" s="40"/>
      <c r="AG5" s="40"/>
      <c r="AH5" s="40"/>
      <c r="AI5" s="40"/>
      <c r="AJ5" s="40"/>
      <c r="AK5" s="40"/>
      <c r="AL5" s="40"/>
      <c r="AM5" s="40"/>
      <c r="AN5" s="40"/>
      <c r="AO5" s="40"/>
      <c r="AP5" s="40"/>
      <c r="AQ5" s="40"/>
      <c r="AR5" s="40"/>
      <c r="AS5" s="40"/>
      <c r="AT5" s="40"/>
      <c r="AU5" s="40"/>
      <c r="AV5" s="40"/>
      <c r="AW5" s="40"/>
      <c r="AX5" s="46">
        <f t="shared" si="1"/>
        <v>3</v>
      </c>
      <c r="AY5" s="42">
        <f t="shared" si="2"/>
        <v>0</v>
      </c>
    </row>
    <row r="6" spans="1:51" x14ac:dyDescent="0.25">
      <c r="A6" s="38">
        <v>82</v>
      </c>
      <c r="B6" s="39" t="s">
        <v>209</v>
      </c>
      <c r="C6" s="40" t="s">
        <v>210</v>
      </c>
      <c r="D6" s="40" t="s">
        <v>55</v>
      </c>
      <c r="E6" s="40" t="s">
        <v>55</v>
      </c>
      <c r="F6" s="40" t="s">
        <v>55</v>
      </c>
      <c r="G6" s="38">
        <v>12</v>
      </c>
      <c r="H6" s="40">
        <v>10084.030000000001</v>
      </c>
      <c r="I6" s="40">
        <v>0</v>
      </c>
      <c r="J6" s="41" t="str" cm="1">
        <f t="array" ref="J6">IF($V6="","",IFERROR(INDEX(Articulacion!G:G,$V6),0))</f>
        <v/>
      </c>
      <c r="K6" s="41" t="str" cm="1">
        <f t="array" ref="K6">IF($V6="","",IFERROR(INDEX(Articulacion!H:H,$V6),0))</f>
        <v/>
      </c>
      <c r="L6" s="41" t="str" cm="1">
        <f t="array" ref="L6">IF($V6="","",IFERROR(INDEX(Articulacion!I:I,$V6),0))</f>
        <v/>
      </c>
      <c r="M6" s="41" t="str" cm="1">
        <f t="array" ref="M6">IF($V6="","",IFERROR(INDEX(Articulacion!J:J,$V6),0))</f>
        <v/>
      </c>
      <c r="N6" s="41" t="str" cm="1">
        <f t="array" ref="N6">IF($V6="","",IFERROR(INDEX(Articulacion!K:K,$V6),0))</f>
        <v/>
      </c>
      <c r="O6" s="41" t="str" cm="1">
        <f t="array" ref="O6">IF($V6="","",IFERROR(INDEX(Articulacion!L:L,$V6),0))</f>
        <v/>
      </c>
      <c r="P6" s="41" t="str" cm="1">
        <f t="array" ref="P6">IF($V6="","",IFERROR(INDEX(Articulacion!M:M,$V6),0))</f>
        <v/>
      </c>
      <c r="Q6" s="41" t="str" cm="1">
        <f t="array" ref="Q6">IF($V6="","",IFERROR(INDEX(Articulacion!N:N,$V6),0))</f>
        <v/>
      </c>
      <c r="R6" s="41" t="str" cm="1">
        <f t="array" ref="R6">IF($V6="","",IFERROR(INDEX(Articulacion!O:O,$V6),0))</f>
        <v/>
      </c>
      <c r="S6" s="41" t="str" cm="1">
        <f t="array" ref="S6">IF($V6="","",IFERROR(INDEX(Articulacion!P:P,$V6),0))</f>
        <v/>
      </c>
      <c r="T6" s="41" t="str" cm="1">
        <f t="array" ref="T6">IF($V6="","",IFERROR(INDEX(Articulacion!Q:Q,$V6),0))</f>
        <v/>
      </c>
      <c r="U6" s="48">
        <f t="shared" si="0"/>
        <v>0</v>
      </c>
      <c r="V6" s="49"/>
      <c r="W6" s="41"/>
      <c r="X6" s="41"/>
      <c r="Y6" s="41"/>
      <c r="Z6" s="41"/>
      <c r="AA6" s="41"/>
      <c r="AB6" s="41"/>
      <c r="AC6" s="41"/>
      <c r="AD6" s="41"/>
      <c r="AE6" s="41"/>
      <c r="AF6" s="41"/>
      <c r="AG6" s="41"/>
      <c r="AH6" s="41"/>
      <c r="AI6" s="41"/>
      <c r="AJ6" s="41"/>
      <c r="AK6" s="41"/>
      <c r="AL6" s="41"/>
      <c r="AM6" s="41">
        <v>1</v>
      </c>
      <c r="AN6" s="41">
        <v>2</v>
      </c>
      <c r="AO6" s="41">
        <v>1</v>
      </c>
      <c r="AP6" s="41">
        <v>1</v>
      </c>
      <c r="AQ6" s="41">
        <v>1</v>
      </c>
      <c r="AR6" s="41">
        <v>1</v>
      </c>
      <c r="AS6" s="41">
        <v>1</v>
      </c>
      <c r="AT6" s="41">
        <v>1</v>
      </c>
      <c r="AU6" s="41">
        <v>1</v>
      </c>
      <c r="AV6" s="41">
        <v>1</v>
      </c>
      <c r="AW6" s="41">
        <v>1</v>
      </c>
      <c r="AX6" s="46">
        <f t="shared" si="1"/>
        <v>12</v>
      </c>
      <c r="AY6" s="42">
        <f t="shared" si="2"/>
        <v>0</v>
      </c>
    </row>
    <row r="7" spans="1:51" x14ac:dyDescent="0.25">
      <c r="A7" s="38">
        <v>19</v>
      </c>
      <c r="B7" s="39" t="s">
        <v>89</v>
      </c>
      <c r="C7" s="40" t="s">
        <v>90</v>
      </c>
      <c r="D7" s="40" t="s">
        <v>55</v>
      </c>
      <c r="E7" s="40" t="s">
        <v>55</v>
      </c>
      <c r="F7" s="40" t="s">
        <v>55</v>
      </c>
      <c r="G7" s="38">
        <v>10</v>
      </c>
      <c r="H7" s="40">
        <v>5042.0200000000004</v>
      </c>
      <c r="I7" s="40">
        <v>0</v>
      </c>
      <c r="J7" s="41" t="str" cm="1">
        <f t="array" ref="J7">IF($V7="","",IFERROR(INDEX(Articulacion!G:G,$V7),0))</f>
        <v/>
      </c>
      <c r="K7" s="41" t="str" cm="1">
        <f t="array" ref="K7">IF($V7="","",IFERROR(INDEX(Articulacion!H:H,$V7),0))</f>
        <v/>
      </c>
      <c r="L7" s="41" t="str" cm="1">
        <f t="array" ref="L7">IF($V7="","",IFERROR(INDEX(Articulacion!I:I,$V7),0))</f>
        <v/>
      </c>
      <c r="M7" s="41" t="str" cm="1">
        <f t="array" ref="M7">IF($V7="","",IFERROR(INDEX(Articulacion!J:J,$V7),0))</f>
        <v/>
      </c>
      <c r="N7" s="41" t="str" cm="1">
        <f t="array" ref="N7">IF($V7="","",IFERROR(INDEX(Articulacion!K:K,$V7),0))</f>
        <v/>
      </c>
      <c r="O7" s="41" t="str" cm="1">
        <f t="array" ref="O7">IF($V7="","",IFERROR(INDEX(Articulacion!L:L,$V7),0))</f>
        <v/>
      </c>
      <c r="P7" s="41" t="str" cm="1">
        <f t="array" ref="P7">IF($V7="","",IFERROR(INDEX(Articulacion!M:M,$V7),0))</f>
        <v/>
      </c>
      <c r="Q7" s="41" t="str" cm="1">
        <f t="array" ref="Q7">IF($V7="","",IFERROR(INDEX(Articulacion!N:N,$V7),0))</f>
        <v/>
      </c>
      <c r="R7" s="41" t="str" cm="1">
        <f t="array" ref="R7">IF($V7="","",IFERROR(INDEX(Articulacion!O:O,$V7),0))</f>
        <v/>
      </c>
      <c r="S7" s="41" t="str" cm="1">
        <f t="array" ref="S7">IF($V7="","",IFERROR(INDEX(Articulacion!P:P,$V7),0))</f>
        <v/>
      </c>
      <c r="T7" s="41" t="str" cm="1">
        <f t="array" ref="T7">IF($V7="","",IFERROR(INDEX(Articulacion!Q:Q,$V7),0))</f>
        <v/>
      </c>
      <c r="U7" s="48">
        <f t="shared" si="0"/>
        <v>0</v>
      </c>
      <c r="V7" s="49"/>
      <c r="W7" s="40"/>
      <c r="X7" s="40"/>
      <c r="Y7" s="40"/>
      <c r="Z7" s="40"/>
      <c r="AA7" s="40"/>
      <c r="AB7" s="40"/>
      <c r="AC7" s="40"/>
      <c r="AD7" s="40"/>
      <c r="AE7" s="40"/>
      <c r="AF7" s="40"/>
      <c r="AG7" s="40"/>
      <c r="AH7" s="40"/>
      <c r="AI7" s="40"/>
      <c r="AJ7" s="40"/>
      <c r="AK7" s="40"/>
      <c r="AL7" s="40"/>
      <c r="AM7" s="40"/>
      <c r="AN7" s="40">
        <v>1</v>
      </c>
      <c r="AO7" s="40">
        <v>1</v>
      </c>
      <c r="AP7" s="40">
        <v>1</v>
      </c>
      <c r="AQ7" s="40">
        <v>1</v>
      </c>
      <c r="AR7" s="40">
        <v>1</v>
      </c>
      <c r="AS7" s="40">
        <v>1</v>
      </c>
      <c r="AT7" s="40">
        <v>1</v>
      </c>
      <c r="AU7" s="40">
        <v>1</v>
      </c>
      <c r="AV7" s="40">
        <v>1</v>
      </c>
      <c r="AW7" s="40">
        <v>1</v>
      </c>
      <c r="AX7" s="46">
        <f t="shared" si="1"/>
        <v>10</v>
      </c>
      <c r="AY7" s="42">
        <f t="shared" si="2"/>
        <v>0</v>
      </c>
    </row>
    <row r="8" spans="1:51" x14ac:dyDescent="0.25">
      <c r="A8" s="38">
        <v>81</v>
      </c>
      <c r="B8" s="39" t="s">
        <v>207</v>
      </c>
      <c r="C8" s="40" t="s">
        <v>208</v>
      </c>
      <c r="D8" s="40" t="s">
        <v>55</v>
      </c>
      <c r="E8" s="40" t="s">
        <v>55</v>
      </c>
      <c r="F8" s="40" t="s">
        <v>55</v>
      </c>
      <c r="G8" s="38">
        <v>20</v>
      </c>
      <c r="H8" s="40">
        <v>10084.030000000001</v>
      </c>
      <c r="I8" s="40">
        <v>0</v>
      </c>
      <c r="J8" s="41" cm="1">
        <f t="array" ref="J8">IF($V8="","",IFERROR(INDEX(Articulacion!G:G,$V8),0))</f>
        <v>0</v>
      </c>
      <c r="K8" s="41" cm="1">
        <f t="array" ref="K8">IF($V8="","",IFERROR(INDEX(Articulacion!H:H,$V8),0))</f>
        <v>0</v>
      </c>
      <c r="L8" s="41" cm="1">
        <f t="array" ref="L8">IF($V8="","",IFERROR(INDEX(Articulacion!I:I,$V8),0))</f>
        <v>0</v>
      </c>
      <c r="M8" s="41" cm="1">
        <f t="array" ref="M8">IF($V8="","",IFERROR(INDEX(Articulacion!J:J,$V8),0))</f>
        <v>2</v>
      </c>
      <c r="N8" s="41" cm="1">
        <f t="array" ref="N8">IF($V8="","",IFERROR(INDEX(Articulacion!K:K,$V8),0))</f>
        <v>2</v>
      </c>
      <c r="O8" s="41" cm="1">
        <f t="array" ref="O8">IF($V8="","",IFERROR(INDEX(Articulacion!L:L,$V8),0))</f>
        <v>2</v>
      </c>
      <c r="P8" s="41" cm="1">
        <f t="array" ref="P8">IF($V8="","",IFERROR(INDEX(Articulacion!M:M,$V8),0))</f>
        <v>2</v>
      </c>
      <c r="Q8" s="41" cm="1">
        <f t="array" ref="Q8">IF($V8="","",IFERROR(INDEX(Articulacion!N:N,$V8),0))</f>
        <v>0</v>
      </c>
      <c r="R8" s="41" cm="1">
        <f t="array" ref="R8">IF($V8="","",IFERROR(INDEX(Articulacion!O:O,$V8),0))</f>
        <v>0</v>
      </c>
      <c r="S8" s="41" cm="1">
        <f t="array" ref="S8">IF($V8="","",IFERROR(INDEX(Articulacion!P:P,$V8),0))</f>
        <v>0</v>
      </c>
      <c r="T8" s="41" cm="1">
        <f t="array" ref="T8">IF($V8="","",IFERROR(INDEX(Articulacion!Q:Q,$V8),0))</f>
        <v>0</v>
      </c>
      <c r="U8" s="48">
        <f t="shared" si="0"/>
        <v>8</v>
      </c>
      <c r="V8" s="49">
        <v>2</v>
      </c>
      <c r="W8" s="40"/>
      <c r="X8" s="40"/>
      <c r="Y8" s="40">
        <v>1</v>
      </c>
      <c r="Z8" s="40">
        <v>1</v>
      </c>
      <c r="AA8" s="40">
        <v>1</v>
      </c>
      <c r="AB8" s="40">
        <v>1</v>
      </c>
      <c r="AC8" s="40">
        <v>1</v>
      </c>
      <c r="AD8" s="40">
        <v>1</v>
      </c>
      <c r="AE8" s="40">
        <v>1</v>
      </c>
      <c r="AF8" s="40">
        <v>1</v>
      </c>
      <c r="AG8" s="40">
        <v>1</v>
      </c>
      <c r="AH8" s="40">
        <v>1</v>
      </c>
      <c r="AI8" s="40">
        <v>1</v>
      </c>
      <c r="AJ8" s="40">
        <v>1</v>
      </c>
      <c r="AK8" s="40"/>
      <c r="AL8" s="40"/>
      <c r="AM8" s="40"/>
      <c r="AN8" s="40"/>
      <c r="AO8" s="40"/>
      <c r="AP8" s="40"/>
      <c r="AQ8" s="40"/>
      <c r="AR8" s="40"/>
      <c r="AS8" s="40"/>
      <c r="AT8" s="40"/>
      <c r="AU8" s="40"/>
      <c r="AV8" s="40"/>
      <c r="AW8" s="40"/>
      <c r="AX8" s="46">
        <f t="shared" si="1"/>
        <v>12</v>
      </c>
      <c r="AY8" s="42">
        <f t="shared" si="2"/>
        <v>0</v>
      </c>
    </row>
    <row r="9" spans="1:51" x14ac:dyDescent="0.25">
      <c r="A9" s="38">
        <v>80</v>
      </c>
      <c r="B9" s="39" t="s">
        <v>205</v>
      </c>
      <c r="C9" s="40" t="s">
        <v>206</v>
      </c>
      <c r="D9" s="40" t="s">
        <v>55</v>
      </c>
      <c r="E9" s="40" t="s">
        <v>55</v>
      </c>
      <c r="F9" s="40" t="s">
        <v>55</v>
      </c>
      <c r="G9" s="38">
        <v>10</v>
      </c>
      <c r="H9" s="40">
        <v>13445.38</v>
      </c>
      <c r="I9" s="40">
        <v>0</v>
      </c>
      <c r="J9" s="41" t="str" cm="1">
        <f t="array" ref="J9">IF($V9="","",IFERROR(INDEX(Articulacion!G:G,$V9),0))</f>
        <v/>
      </c>
      <c r="K9" s="41" t="str" cm="1">
        <f t="array" ref="K9">IF($V9="","",IFERROR(INDEX(Articulacion!H:H,$V9),0))</f>
        <v/>
      </c>
      <c r="L9" s="41" t="str" cm="1">
        <f t="array" ref="L9">IF($V9="","",IFERROR(INDEX(Articulacion!I:I,$V9),0))</f>
        <v/>
      </c>
      <c r="M9" s="41" t="str" cm="1">
        <f t="array" ref="M9">IF($V9="","",IFERROR(INDEX(Articulacion!J:J,$V9),0))</f>
        <v/>
      </c>
      <c r="N9" s="41" t="str" cm="1">
        <f t="array" ref="N9">IF($V9="","",IFERROR(INDEX(Articulacion!K:K,$V9),0))</f>
        <v/>
      </c>
      <c r="O9" s="41" t="str" cm="1">
        <f t="array" ref="O9">IF($V9="","",IFERROR(INDEX(Articulacion!L:L,$V9),0))</f>
        <v/>
      </c>
      <c r="P9" s="41" t="str" cm="1">
        <f t="array" ref="P9">IF($V9="","",IFERROR(INDEX(Articulacion!M:M,$V9),0))</f>
        <v/>
      </c>
      <c r="Q9" s="41" t="str" cm="1">
        <f t="array" ref="Q9">IF($V9="","",IFERROR(INDEX(Articulacion!N:N,$V9),0))</f>
        <v/>
      </c>
      <c r="R9" s="41" t="str" cm="1">
        <f t="array" ref="R9">IF($V9="","",IFERROR(INDEX(Articulacion!O:O,$V9),0))</f>
        <v/>
      </c>
      <c r="S9" s="41" t="str" cm="1">
        <f t="array" ref="S9">IF($V9="","",IFERROR(INDEX(Articulacion!P:P,$V9),0))</f>
        <v/>
      </c>
      <c r="T9" s="41" t="str" cm="1">
        <f t="array" ref="T9">IF($V9="","",IFERROR(INDEX(Articulacion!Q:Q,$V9),0))</f>
        <v/>
      </c>
      <c r="U9" s="48">
        <f t="shared" si="0"/>
        <v>0</v>
      </c>
      <c r="V9" s="49"/>
      <c r="W9" s="40">
        <v>1</v>
      </c>
      <c r="X9" s="40">
        <v>1</v>
      </c>
      <c r="Y9" s="40">
        <v>1</v>
      </c>
      <c r="Z9" s="40">
        <v>1</v>
      </c>
      <c r="AA9" s="40">
        <v>1</v>
      </c>
      <c r="AB9" s="40">
        <v>1</v>
      </c>
      <c r="AC9" s="40">
        <v>1</v>
      </c>
      <c r="AD9" s="40">
        <v>1</v>
      </c>
      <c r="AE9" s="40">
        <v>1</v>
      </c>
      <c r="AF9" s="40">
        <v>1</v>
      </c>
      <c r="AG9" s="40"/>
      <c r="AH9" s="40"/>
      <c r="AI9" s="40"/>
      <c r="AJ9" s="40"/>
      <c r="AK9" s="40"/>
      <c r="AL9" s="40"/>
      <c r="AM9" s="40"/>
      <c r="AN9" s="40"/>
      <c r="AO9" s="40"/>
      <c r="AP9" s="40"/>
      <c r="AQ9" s="40"/>
      <c r="AR9" s="40"/>
      <c r="AS9" s="40"/>
      <c r="AT9" s="40"/>
      <c r="AU9" s="40"/>
      <c r="AV9" s="40"/>
      <c r="AW9" s="40"/>
      <c r="AX9" s="46">
        <f t="shared" si="1"/>
        <v>10</v>
      </c>
      <c r="AY9" s="42">
        <f t="shared" si="2"/>
        <v>0</v>
      </c>
    </row>
    <row r="10" spans="1:51" x14ac:dyDescent="0.25">
      <c r="A10" s="38">
        <v>79</v>
      </c>
      <c r="B10" s="39" t="s">
        <v>203</v>
      </c>
      <c r="C10" s="40" t="s">
        <v>204</v>
      </c>
      <c r="D10" s="40" t="s">
        <v>55</v>
      </c>
      <c r="E10" s="40" t="s">
        <v>55</v>
      </c>
      <c r="F10" s="40" t="s">
        <v>55</v>
      </c>
      <c r="G10" s="38">
        <v>12</v>
      </c>
      <c r="H10" s="40">
        <v>11764.71</v>
      </c>
      <c r="I10" s="40">
        <v>0</v>
      </c>
      <c r="J10" s="41" t="str" cm="1">
        <f t="array" ref="J10">IF($V10="","",IFERROR(INDEX(Articulacion!G:G,$V10),0))</f>
        <v/>
      </c>
      <c r="K10" s="41" t="str" cm="1">
        <f t="array" ref="K10">IF($V10="","",IFERROR(INDEX(Articulacion!H:H,$V10),0))</f>
        <v/>
      </c>
      <c r="L10" s="41" t="str" cm="1">
        <f t="array" ref="L10">IF($V10="","",IFERROR(INDEX(Articulacion!I:I,$V10),0))</f>
        <v/>
      </c>
      <c r="M10" s="41" t="str" cm="1">
        <f t="array" ref="M10">IF($V10="","",IFERROR(INDEX(Articulacion!J:J,$V10),0))</f>
        <v/>
      </c>
      <c r="N10" s="41" t="str" cm="1">
        <f t="array" ref="N10">IF($V10="","",IFERROR(INDEX(Articulacion!K:K,$V10),0))</f>
        <v/>
      </c>
      <c r="O10" s="41" t="str" cm="1">
        <f t="array" ref="O10">IF($V10="","",IFERROR(INDEX(Articulacion!L:L,$V10),0))</f>
        <v/>
      </c>
      <c r="P10" s="41" t="str" cm="1">
        <f t="array" ref="P10">IF($V10="","",IFERROR(INDEX(Articulacion!M:M,$V10),0))</f>
        <v/>
      </c>
      <c r="Q10" s="41" t="str" cm="1">
        <f t="array" ref="Q10">IF($V10="","",IFERROR(INDEX(Articulacion!N:N,$V10),0))</f>
        <v/>
      </c>
      <c r="R10" s="41" t="str" cm="1">
        <f t="array" ref="R10">IF($V10="","",IFERROR(INDEX(Articulacion!O:O,$V10),0))</f>
        <v/>
      </c>
      <c r="S10" s="41" t="str" cm="1">
        <f t="array" ref="S10">IF($V10="","",IFERROR(INDEX(Articulacion!P:P,$V10),0))</f>
        <v/>
      </c>
      <c r="T10" s="41" t="str" cm="1">
        <f t="array" ref="T10">IF($V10="","",IFERROR(INDEX(Articulacion!Q:Q,$V10),0))</f>
        <v/>
      </c>
      <c r="U10" s="48">
        <f t="shared" si="0"/>
        <v>0</v>
      </c>
      <c r="V10" s="49"/>
      <c r="W10" s="41"/>
      <c r="X10" s="41"/>
      <c r="Y10" s="41"/>
      <c r="Z10" s="41"/>
      <c r="AA10" s="41"/>
      <c r="AB10" s="41"/>
      <c r="AC10" s="41"/>
      <c r="AD10" s="41"/>
      <c r="AE10" s="41"/>
      <c r="AF10" s="41"/>
      <c r="AG10" s="41">
        <v>1</v>
      </c>
      <c r="AH10" s="41">
        <v>1</v>
      </c>
      <c r="AI10" s="41">
        <v>1</v>
      </c>
      <c r="AJ10" s="41">
        <v>1</v>
      </c>
      <c r="AK10" s="41">
        <v>1</v>
      </c>
      <c r="AL10" s="41">
        <v>1</v>
      </c>
      <c r="AM10" s="41">
        <v>1</v>
      </c>
      <c r="AN10" s="41">
        <v>2</v>
      </c>
      <c r="AO10" s="41">
        <v>1</v>
      </c>
      <c r="AP10" s="41">
        <v>1</v>
      </c>
      <c r="AQ10" s="41">
        <v>1</v>
      </c>
      <c r="AR10" s="41"/>
      <c r="AS10" s="41"/>
      <c r="AT10" s="41"/>
      <c r="AU10" s="41"/>
      <c r="AV10" s="41"/>
      <c r="AW10" s="41"/>
      <c r="AX10" s="46">
        <f t="shared" si="1"/>
        <v>12</v>
      </c>
      <c r="AY10" s="42">
        <f t="shared" si="2"/>
        <v>0</v>
      </c>
    </row>
    <row r="11" spans="1:51" x14ac:dyDescent="0.25">
      <c r="A11" s="38">
        <v>78</v>
      </c>
      <c r="B11" s="39" t="s">
        <v>201</v>
      </c>
      <c r="C11" s="40" t="s">
        <v>202</v>
      </c>
      <c r="D11" s="40" t="s">
        <v>55</v>
      </c>
      <c r="E11" s="40" t="s">
        <v>55</v>
      </c>
      <c r="F11" s="40" t="s">
        <v>55</v>
      </c>
      <c r="G11" s="38">
        <v>18</v>
      </c>
      <c r="H11" s="40">
        <v>10924.37</v>
      </c>
      <c r="I11" s="40">
        <v>0</v>
      </c>
      <c r="J11" s="41" t="str" cm="1">
        <f t="array" ref="J11">IF($V11="","",IFERROR(INDEX(Articulacion!G:G,$V11),0))</f>
        <v/>
      </c>
      <c r="K11" s="41" t="str" cm="1">
        <f t="array" ref="K11">IF($V11="","",IFERROR(INDEX(Articulacion!H:H,$V11),0))</f>
        <v/>
      </c>
      <c r="L11" s="41" t="str" cm="1">
        <f t="array" ref="L11">IF($V11="","",IFERROR(INDEX(Articulacion!I:I,$V11),0))</f>
        <v/>
      </c>
      <c r="M11" s="41" t="str" cm="1">
        <f t="array" ref="M11">IF($V11="","",IFERROR(INDEX(Articulacion!J:J,$V11),0))</f>
        <v/>
      </c>
      <c r="N11" s="41" t="str" cm="1">
        <f t="array" ref="N11">IF($V11="","",IFERROR(INDEX(Articulacion!K:K,$V11),0))</f>
        <v/>
      </c>
      <c r="O11" s="41" t="str" cm="1">
        <f t="array" ref="O11">IF($V11="","",IFERROR(INDEX(Articulacion!L:L,$V11),0))</f>
        <v/>
      </c>
      <c r="P11" s="41" t="str" cm="1">
        <f t="array" ref="P11">IF($V11="","",IFERROR(INDEX(Articulacion!M:M,$V11),0))</f>
        <v/>
      </c>
      <c r="Q11" s="41" t="str" cm="1">
        <f t="array" ref="Q11">IF($V11="","",IFERROR(INDEX(Articulacion!N:N,$V11),0))</f>
        <v/>
      </c>
      <c r="R11" s="41" t="str" cm="1">
        <f t="array" ref="R11">IF($V11="","",IFERROR(INDEX(Articulacion!O:O,$V11),0))</f>
        <v/>
      </c>
      <c r="S11" s="41" t="str" cm="1">
        <f t="array" ref="S11">IF($V11="","",IFERROR(INDEX(Articulacion!P:P,$V11),0))</f>
        <v/>
      </c>
      <c r="T11" s="41" t="str" cm="1">
        <f t="array" ref="T11">IF($V11="","",IFERROR(INDEX(Articulacion!Q:Q,$V11),0))</f>
        <v/>
      </c>
      <c r="U11" s="48">
        <f t="shared" si="0"/>
        <v>0</v>
      </c>
      <c r="V11" s="49"/>
      <c r="W11" s="40">
        <v>1</v>
      </c>
      <c r="X11" s="40">
        <v>1</v>
      </c>
      <c r="Y11" s="40">
        <v>1</v>
      </c>
      <c r="Z11" s="40">
        <v>1</v>
      </c>
      <c r="AA11" s="40">
        <v>1</v>
      </c>
      <c r="AB11" s="40">
        <v>1</v>
      </c>
      <c r="AC11" s="40">
        <v>1</v>
      </c>
      <c r="AD11" s="40">
        <v>1</v>
      </c>
      <c r="AE11" s="40">
        <v>1</v>
      </c>
      <c r="AF11" s="40">
        <v>1</v>
      </c>
      <c r="AG11" s="40">
        <v>1</v>
      </c>
      <c r="AH11" s="40">
        <v>1</v>
      </c>
      <c r="AI11" s="40">
        <v>1</v>
      </c>
      <c r="AJ11" s="40">
        <v>1</v>
      </c>
      <c r="AK11" s="40">
        <v>1</v>
      </c>
      <c r="AL11" s="40">
        <v>1</v>
      </c>
      <c r="AM11" s="40">
        <v>1</v>
      </c>
      <c r="AN11" s="40">
        <v>1</v>
      </c>
      <c r="AO11" s="40"/>
      <c r="AP11" s="40"/>
      <c r="AQ11" s="40"/>
      <c r="AR11" s="40"/>
      <c r="AS11" s="40"/>
      <c r="AT11" s="40"/>
      <c r="AU11" s="40"/>
      <c r="AV11" s="40"/>
      <c r="AW11" s="40"/>
      <c r="AX11" s="46">
        <f t="shared" si="1"/>
        <v>18</v>
      </c>
      <c r="AY11" s="42">
        <f t="shared" si="2"/>
        <v>0</v>
      </c>
    </row>
    <row r="12" spans="1:51" x14ac:dyDescent="0.25">
      <c r="A12" s="38">
        <v>32</v>
      </c>
      <c r="B12" s="39" t="s">
        <v>113</v>
      </c>
      <c r="C12" s="40" t="s">
        <v>114</v>
      </c>
      <c r="D12" s="40" t="s">
        <v>55</v>
      </c>
      <c r="E12" s="40" t="s">
        <v>55</v>
      </c>
      <c r="F12" s="40" t="s">
        <v>55</v>
      </c>
      <c r="G12" s="38">
        <v>2</v>
      </c>
      <c r="H12" s="40">
        <v>35294.120000000003</v>
      </c>
      <c r="I12" s="40">
        <v>0</v>
      </c>
      <c r="J12" s="41" t="str" cm="1">
        <f t="array" ref="J12">IF($V12="","",IFERROR(INDEX(Articulacion!G:G,$V12),0))</f>
        <v/>
      </c>
      <c r="K12" s="41" t="str" cm="1">
        <f t="array" ref="K12">IF($V12="","",IFERROR(INDEX(Articulacion!H:H,$V12),0))</f>
        <v/>
      </c>
      <c r="L12" s="41" t="str" cm="1">
        <f t="array" ref="L12">IF($V12="","",IFERROR(INDEX(Articulacion!I:I,$V12),0))</f>
        <v/>
      </c>
      <c r="M12" s="41" t="str" cm="1">
        <f t="array" ref="M12">IF($V12="","",IFERROR(INDEX(Articulacion!J:J,$V12),0))</f>
        <v/>
      </c>
      <c r="N12" s="41" t="str" cm="1">
        <f t="array" ref="N12">IF($V12="","",IFERROR(INDEX(Articulacion!K:K,$V12),0))</f>
        <v/>
      </c>
      <c r="O12" s="41" t="str" cm="1">
        <f t="array" ref="O12">IF($V12="","",IFERROR(INDEX(Articulacion!L:L,$V12),0))</f>
        <v/>
      </c>
      <c r="P12" s="41" t="str" cm="1">
        <f t="array" ref="P12">IF($V12="","",IFERROR(INDEX(Articulacion!M:M,$V12),0))</f>
        <v/>
      </c>
      <c r="Q12" s="41" t="str" cm="1">
        <f t="array" ref="Q12">IF($V12="","",IFERROR(INDEX(Articulacion!N:N,$V12),0))</f>
        <v/>
      </c>
      <c r="R12" s="41" t="str" cm="1">
        <f t="array" ref="R12">IF($V12="","",IFERROR(INDEX(Articulacion!O:O,$V12),0))</f>
        <v/>
      </c>
      <c r="S12" s="41" t="str" cm="1">
        <f t="array" ref="S12">IF($V12="","",IFERROR(INDEX(Articulacion!P:P,$V12),0))</f>
        <v/>
      </c>
      <c r="T12" s="41" t="str" cm="1">
        <f t="array" ref="T12">IF($V12="","",IFERROR(INDEX(Articulacion!Q:Q,$V12),0))</f>
        <v/>
      </c>
      <c r="U12" s="48">
        <f t="shared" si="0"/>
        <v>0</v>
      </c>
      <c r="V12" s="49"/>
      <c r="W12" s="40"/>
      <c r="X12" s="40"/>
      <c r="Y12" s="40">
        <v>1</v>
      </c>
      <c r="Z12" s="40">
        <v>1</v>
      </c>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6">
        <f t="shared" si="1"/>
        <v>2</v>
      </c>
      <c r="AY12" s="42">
        <f t="shared" si="2"/>
        <v>0</v>
      </c>
    </row>
    <row r="13" spans="1:51" x14ac:dyDescent="0.25">
      <c r="A13" s="38">
        <v>77</v>
      </c>
      <c r="B13" s="39" t="s">
        <v>58</v>
      </c>
      <c r="C13" s="40" t="s">
        <v>200</v>
      </c>
      <c r="D13" s="40" t="s">
        <v>55</v>
      </c>
      <c r="E13" s="40" t="s">
        <v>55</v>
      </c>
      <c r="F13" s="40" t="s">
        <v>55</v>
      </c>
      <c r="G13" s="38">
        <v>18</v>
      </c>
      <c r="H13" s="40">
        <v>10084.030000000001</v>
      </c>
      <c r="I13" s="40">
        <v>0</v>
      </c>
      <c r="J13" s="41" t="str" cm="1">
        <f t="array" ref="J13">IF($V13="","",IFERROR(INDEX(Articulacion!G:G,$V13),0))</f>
        <v/>
      </c>
      <c r="K13" s="41" t="str" cm="1">
        <f t="array" ref="K13">IF($V13="","",IFERROR(INDEX(Articulacion!H:H,$V13),0))</f>
        <v/>
      </c>
      <c r="L13" s="41" t="str" cm="1">
        <f t="array" ref="L13">IF($V13="","",IFERROR(INDEX(Articulacion!I:I,$V13),0))</f>
        <v/>
      </c>
      <c r="M13" s="41" t="str" cm="1">
        <f t="array" ref="M13">IF($V13="","",IFERROR(INDEX(Articulacion!J:J,$V13),0))</f>
        <v/>
      </c>
      <c r="N13" s="41" t="str" cm="1">
        <f t="array" ref="N13">IF($V13="","",IFERROR(INDEX(Articulacion!K:K,$V13),0))</f>
        <v/>
      </c>
      <c r="O13" s="41" t="str" cm="1">
        <f t="array" ref="O13">IF($V13="","",IFERROR(INDEX(Articulacion!L:L,$V13),0))</f>
        <v/>
      </c>
      <c r="P13" s="41" t="str" cm="1">
        <f t="array" ref="P13">IF($V13="","",IFERROR(INDEX(Articulacion!M:M,$V13),0))</f>
        <v/>
      </c>
      <c r="Q13" s="41" t="str" cm="1">
        <f t="array" ref="Q13">IF($V13="","",IFERROR(INDEX(Articulacion!N:N,$V13),0))</f>
        <v/>
      </c>
      <c r="R13" s="41" t="str" cm="1">
        <f t="array" ref="R13">IF($V13="","",IFERROR(INDEX(Articulacion!O:O,$V13),0))</f>
        <v/>
      </c>
      <c r="S13" s="41" t="str" cm="1">
        <f t="array" ref="S13">IF($V13="","",IFERROR(INDEX(Articulacion!P:P,$V13),0))</f>
        <v/>
      </c>
      <c r="T13" s="41" t="str" cm="1">
        <f t="array" ref="T13">IF($V13="","",IFERROR(INDEX(Articulacion!Q:Q,$V13),0))</f>
        <v/>
      </c>
      <c r="U13" s="48">
        <f t="shared" si="0"/>
        <v>0</v>
      </c>
      <c r="V13" s="49"/>
      <c r="W13" s="40"/>
      <c r="X13" s="40"/>
      <c r="Y13" s="40"/>
      <c r="Z13" s="40"/>
      <c r="AA13" s="40"/>
      <c r="AB13" s="40"/>
      <c r="AC13" s="40"/>
      <c r="AD13" s="40"/>
      <c r="AE13" s="40"/>
      <c r="AF13" s="40"/>
      <c r="AG13" s="40">
        <v>1</v>
      </c>
      <c r="AH13" s="40">
        <v>1</v>
      </c>
      <c r="AI13" s="40">
        <v>1</v>
      </c>
      <c r="AJ13" s="40">
        <v>1</v>
      </c>
      <c r="AK13" s="40">
        <v>1</v>
      </c>
      <c r="AL13" s="40">
        <v>1</v>
      </c>
      <c r="AM13" s="40">
        <v>1</v>
      </c>
      <c r="AN13" s="40">
        <v>2</v>
      </c>
      <c r="AO13" s="40">
        <v>1</v>
      </c>
      <c r="AP13" s="40">
        <v>1</v>
      </c>
      <c r="AQ13" s="40">
        <v>1</v>
      </c>
      <c r="AR13" s="40">
        <v>1</v>
      </c>
      <c r="AS13" s="40">
        <v>1</v>
      </c>
      <c r="AT13" s="40">
        <v>1</v>
      </c>
      <c r="AU13" s="40">
        <v>1</v>
      </c>
      <c r="AV13" s="40">
        <v>1</v>
      </c>
      <c r="AW13" s="40">
        <v>1</v>
      </c>
      <c r="AX13" s="46">
        <f t="shared" si="1"/>
        <v>18</v>
      </c>
      <c r="AY13" s="42">
        <f t="shared" si="2"/>
        <v>0</v>
      </c>
    </row>
    <row r="14" spans="1:51" x14ac:dyDescent="0.25">
      <c r="A14" s="38">
        <v>76</v>
      </c>
      <c r="B14" s="39" t="s">
        <v>198</v>
      </c>
      <c r="C14" s="40" t="s">
        <v>199</v>
      </c>
      <c r="D14" s="40" t="s">
        <v>55</v>
      </c>
      <c r="E14" s="40" t="s">
        <v>55</v>
      </c>
      <c r="F14" s="40" t="s">
        <v>55</v>
      </c>
      <c r="G14" s="38">
        <v>15</v>
      </c>
      <c r="H14" s="40">
        <v>4621.8500000000004</v>
      </c>
      <c r="I14" s="40">
        <v>0</v>
      </c>
      <c r="J14" s="41" t="str" cm="1">
        <f t="array" ref="J14">IF($V14="","",IFERROR(INDEX(Articulacion!G:G,$V14),0))</f>
        <v/>
      </c>
      <c r="K14" s="41" t="str" cm="1">
        <f t="array" ref="K14">IF($V14="","",IFERROR(INDEX(Articulacion!H:H,$V14),0))</f>
        <v/>
      </c>
      <c r="L14" s="41" t="str" cm="1">
        <f t="array" ref="L14">IF($V14="","",IFERROR(INDEX(Articulacion!I:I,$V14),0))</f>
        <v/>
      </c>
      <c r="M14" s="41" t="str" cm="1">
        <f t="array" ref="M14">IF($V14="","",IFERROR(INDEX(Articulacion!J:J,$V14),0))</f>
        <v/>
      </c>
      <c r="N14" s="41" t="str" cm="1">
        <f t="array" ref="N14">IF($V14="","",IFERROR(INDEX(Articulacion!K:K,$V14),0))</f>
        <v/>
      </c>
      <c r="O14" s="41" t="str" cm="1">
        <f t="array" ref="O14">IF($V14="","",IFERROR(INDEX(Articulacion!L:L,$V14),0))</f>
        <v/>
      </c>
      <c r="P14" s="41" t="str" cm="1">
        <f t="array" ref="P14">IF($V14="","",IFERROR(INDEX(Articulacion!M:M,$V14),0))</f>
        <v/>
      </c>
      <c r="Q14" s="41" t="str" cm="1">
        <f t="array" ref="Q14">IF($V14="","",IFERROR(INDEX(Articulacion!N:N,$V14),0))</f>
        <v/>
      </c>
      <c r="R14" s="41" t="str" cm="1">
        <f t="array" ref="R14">IF($V14="","",IFERROR(INDEX(Articulacion!O:O,$V14),0))</f>
        <v/>
      </c>
      <c r="S14" s="41" t="str" cm="1">
        <f t="array" ref="S14">IF($V14="","",IFERROR(INDEX(Articulacion!P:P,$V14),0))</f>
        <v/>
      </c>
      <c r="T14" s="41" t="str" cm="1">
        <f t="array" ref="T14">IF($V14="","",IFERROR(INDEX(Articulacion!Q:Q,$V14),0))</f>
        <v/>
      </c>
      <c r="U14" s="48">
        <f t="shared" si="0"/>
        <v>0</v>
      </c>
      <c r="V14" s="49"/>
      <c r="W14" s="40">
        <v>1</v>
      </c>
      <c r="X14" s="40">
        <v>1</v>
      </c>
      <c r="Y14" s="40">
        <v>1</v>
      </c>
      <c r="Z14" s="40">
        <v>1</v>
      </c>
      <c r="AA14" s="40">
        <v>1</v>
      </c>
      <c r="AB14" s="40">
        <v>1</v>
      </c>
      <c r="AC14" s="40">
        <v>1</v>
      </c>
      <c r="AD14" s="40">
        <v>1</v>
      </c>
      <c r="AE14" s="40">
        <v>1</v>
      </c>
      <c r="AF14" s="40">
        <v>1</v>
      </c>
      <c r="AG14" s="40">
        <v>1</v>
      </c>
      <c r="AH14" s="40">
        <v>1</v>
      </c>
      <c r="AI14" s="40">
        <v>1</v>
      </c>
      <c r="AJ14" s="40">
        <v>1</v>
      </c>
      <c r="AK14" s="40">
        <v>1</v>
      </c>
      <c r="AL14" s="40"/>
      <c r="AM14" s="40"/>
      <c r="AN14" s="40"/>
      <c r="AO14" s="40"/>
      <c r="AP14" s="40"/>
      <c r="AQ14" s="40"/>
      <c r="AR14" s="40"/>
      <c r="AS14" s="40"/>
      <c r="AT14" s="40"/>
      <c r="AU14" s="40"/>
      <c r="AV14" s="40"/>
      <c r="AW14" s="40"/>
      <c r="AX14" s="46">
        <f t="shared" si="1"/>
        <v>15</v>
      </c>
      <c r="AY14" s="42">
        <f t="shared" si="2"/>
        <v>0</v>
      </c>
    </row>
    <row r="15" spans="1:51" x14ac:dyDescent="0.25">
      <c r="A15" s="38">
        <v>92</v>
      </c>
      <c r="B15" s="39" t="s">
        <v>228</v>
      </c>
      <c r="C15" s="40" t="s">
        <v>229</v>
      </c>
      <c r="D15" s="40" t="s">
        <v>55</v>
      </c>
      <c r="E15" s="40" t="s">
        <v>55</v>
      </c>
      <c r="F15" s="40" t="s">
        <v>55</v>
      </c>
      <c r="G15" s="38">
        <v>20</v>
      </c>
      <c r="H15" s="40">
        <v>14285.71</v>
      </c>
      <c r="I15" s="40">
        <v>0</v>
      </c>
      <c r="J15" s="41" t="str" cm="1">
        <f t="array" ref="J15">IF($V15="","",IFERROR(INDEX(Articulacion!G:G,$V15),0))</f>
        <v/>
      </c>
      <c r="K15" s="41" t="str" cm="1">
        <f t="array" ref="K15">IF($V15="","",IFERROR(INDEX(Articulacion!H:H,$V15),0))</f>
        <v/>
      </c>
      <c r="L15" s="41" t="str" cm="1">
        <f t="array" ref="L15">IF($V15="","",IFERROR(INDEX(Articulacion!I:I,$V15),0))</f>
        <v/>
      </c>
      <c r="M15" s="41" t="str" cm="1">
        <f t="array" ref="M15">IF($V15="","",IFERROR(INDEX(Articulacion!J:J,$V15),0))</f>
        <v/>
      </c>
      <c r="N15" s="41" t="str" cm="1">
        <f t="array" ref="N15">IF($V15="","",IFERROR(INDEX(Articulacion!K:K,$V15),0))</f>
        <v/>
      </c>
      <c r="O15" s="41" t="str" cm="1">
        <f t="array" ref="O15">IF($V15="","",IFERROR(INDEX(Articulacion!L:L,$V15),0))</f>
        <v/>
      </c>
      <c r="P15" s="41" t="str" cm="1">
        <f t="array" ref="P15">IF($V15="","",IFERROR(INDEX(Articulacion!M:M,$V15),0))</f>
        <v/>
      </c>
      <c r="Q15" s="41" t="str" cm="1">
        <f t="array" ref="Q15">IF($V15="","",IFERROR(INDEX(Articulacion!N:N,$V15),0))</f>
        <v/>
      </c>
      <c r="R15" s="41" t="str" cm="1">
        <f t="array" ref="R15">IF($V15="","",IFERROR(INDEX(Articulacion!O:O,$V15),0))</f>
        <v/>
      </c>
      <c r="S15" s="41" t="str" cm="1">
        <f t="array" ref="S15">IF($V15="","",IFERROR(INDEX(Articulacion!P:P,$V15),0))</f>
        <v/>
      </c>
      <c r="T15" s="41" t="str" cm="1">
        <f t="array" ref="T15">IF($V15="","",IFERROR(INDEX(Articulacion!Q:Q,$V15),0))</f>
        <v/>
      </c>
      <c r="U15" s="48">
        <f t="shared" si="0"/>
        <v>0</v>
      </c>
      <c r="V15" s="49"/>
      <c r="W15" s="40">
        <v>5</v>
      </c>
      <c r="X15" s="40">
        <v>5</v>
      </c>
      <c r="Y15" s="40">
        <v>2</v>
      </c>
      <c r="Z15" s="40">
        <v>2</v>
      </c>
      <c r="AA15" s="40">
        <v>1</v>
      </c>
      <c r="AB15" s="40">
        <v>1</v>
      </c>
      <c r="AC15" s="40">
        <v>1</v>
      </c>
      <c r="AD15" s="40">
        <v>1</v>
      </c>
      <c r="AE15" s="40">
        <v>1</v>
      </c>
      <c r="AF15" s="40">
        <v>1</v>
      </c>
      <c r="AG15" s="40"/>
      <c r="AH15" s="40"/>
      <c r="AI15" s="40"/>
      <c r="AJ15" s="40"/>
      <c r="AK15" s="40"/>
      <c r="AL15" s="40"/>
      <c r="AM15" s="40"/>
      <c r="AN15" s="40"/>
      <c r="AO15" s="40"/>
      <c r="AP15" s="40"/>
      <c r="AQ15" s="40"/>
      <c r="AR15" s="40"/>
      <c r="AS15" s="40"/>
      <c r="AT15" s="40"/>
      <c r="AU15" s="40"/>
      <c r="AV15" s="40"/>
      <c r="AW15" s="40"/>
      <c r="AX15" s="46">
        <f t="shared" si="1"/>
        <v>20</v>
      </c>
      <c r="AY15" s="42">
        <f t="shared" si="2"/>
        <v>0</v>
      </c>
    </row>
    <row r="16" spans="1:51" x14ac:dyDescent="0.25">
      <c r="A16" s="38">
        <v>91</v>
      </c>
      <c r="B16" s="39" t="s">
        <v>226</v>
      </c>
      <c r="C16" s="40" t="s">
        <v>227</v>
      </c>
      <c r="D16" s="40" t="s">
        <v>55</v>
      </c>
      <c r="E16" s="40" t="s">
        <v>55</v>
      </c>
      <c r="F16" s="40" t="s">
        <v>55</v>
      </c>
      <c r="G16" s="38">
        <v>20</v>
      </c>
      <c r="H16" s="40">
        <v>15966.39</v>
      </c>
      <c r="I16" s="40">
        <v>0</v>
      </c>
      <c r="J16" s="41" t="str" cm="1">
        <f t="array" ref="J16">IF($V16="","",IFERROR(INDEX(Articulacion!G:G,$V16),0))</f>
        <v/>
      </c>
      <c r="K16" s="41" t="str" cm="1">
        <f t="array" ref="K16">IF($V16="","",IFERROR(INDEX(Articulacion!H:H,$V16),0))</f>
        <v/>
      </c>
      <c r="L16" s="41" t="str" cm="1">
        <f t="array" ref="L16">IF($V16="","",IFERROR(INDEX(Articulacion!I:I,$V16),0))</f>
        <v/>
      </c>
      <c r="M16" s="41" t="str" cm="1">
        <f t="array" ref="M16">IF($V16="","",IFERROR(INDEX(Articulacion!J:J,$V16),0))</f>
        <v/>
      </c>
      <c r="N16" s="41" t="str" cm="1">
        <f t="array" ref="N16">IF($V16="","",IFERROR(INDEX(Articulacion!K:K,$V16),0))</f>
        <v/>
      </c>
      <c r="O16" s="41" t="str" cm="1">
        <f t="array" ref="O16">IF($V16="","",IFERROR(INDEX(Articulacion!L:L,$V16),0))</f>
        <v/>
      </c>
      <c r="P16" s="41" t="str" cm="1">
        <f t="array" ref="P16">IF($V16="","",IFERROR(INDEX(Articulacion!M:M,$V16),0))</f>
        <v/>
      </c>
      <c r="Q16" s="41" t="str" cm="1">
        <f t="array" ref="Q16">IF($V16="","",IFERROR(INDEX(Articulacion!N:N,$V16),0))</f>
        <v/>
      </c>
      <c r="R16" s="41" t="str" cm="1">
        <f t="array" ref="R16">IF($V16="","",IFERROR(INDEX(Articulacion!O:O,$V16),0))</f>
        <v/>
      </c>
      <c r="S16" s="41" t="str" cm="1">
        <f t="array" ref="S16">IF($V16="","",IFERROR(INDEX(Articulacion!P:P,$V16),0))</f>
        <v/>
      </c>
      <c r="T16" s="41" t="str" cm="1">
        <f t="array" ref="T16">IF($V16="","",IFERROR(INDEX(Articulacion!Q:Q,$V16),0))</f>
        <v/>
      </c>
      <c r="U16" s="48">
        <f t="shared" si="0"/>
        <v>0</v>
      </c>
      <c r="V16" s="49"/>
      <c r="W16" s="40">
        <v>10</v>
      </c>
      <c r="X16" s="40">
        <v>10</v>
      </c>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6">
        <f t="shared" si="1"/>
        <v>20</v>
      </c>
      <c r="AY16" s="42">
        <f t="shared" si="2"/>
        <v>0</v>
      </c>
    </row>
    <row r="17" spans="1:51" x14ac:dyDescent="0.25">
      <c r="A17" s="38">
        <v>75</v>
      </c>
      <c r="B17" s="39" t="s">
        <v>196</v>
      </c>
      <c r="C17" s="40" t="s">
        <v>197</v>
      </c>
      <c r="D17" s="40" t="s">
        <v>55</v>
      </c>
      <c r="E17" s="40" t="s">
        <v>55</v>
      </c>
      <c r="F17" s="40" t="s">
        <v>55</v>
      </c>
      <c r="G17" s="38">
        <v>12</v>
      </c>
      <c r="H17" s="40">
        <v>7983.19</v>
      </c>
      <c r="I17" s="40">
        <v>0</v>
      </c>
      <c r="J17" s="41" t="str" cm="1">
        <f t="array" ref="J17">IF($V17="","",IFERROR(INDEX(Articulacion!G:G,$V17),0))</f>
        <v/>
      </c>
      <c r="K17" s="41" t="str" cm="1">
        <f t="array" ref="K17">IF($V17="","",IFERROR(INDEX(Articulacion!H:H,$V17),0))</f>
        <v/>
      </c>
      <c r="L17" s="41" t="str" cm="1">
        <f t="array" ref="L17">IF($V17="","",IFERROR(INDEX(Articulacion!I:I,$V17),0))</f>
        <v/>
      </c>
      <c r="M17" s="41" t="str" cm="1">
        <f t="array" ref="M17">IF($V17="","",IFERROR(INDEX(Articulacion!J:J,$V17),0))</f>
        <v/>
      </c>
      <c r="N17" s="41" t="str" cm="1">
        <f t="array" ref="N17">IF($V17="","",IFERROR(INDEX(Articulacion!K:K,$V17),0))</f>
        <v/>
      </c>
      <c r="O17" s="41" t="str" cm="1">
        <f t="array" ref="O17">IF($V17="","",IFERROR(INDEX(Articulacion!L:L,$V17),0))</f>
        <v/>
      </c>
      <c r="P17" s="41" t="str" cm="1">
        <f t="array" ref="P17">IF($V17="","",IFERROR(INDEX(Articulacion!M:M,$V17),0))</f>
        <v/>
      </c>
      <c r="Q17" s="41" t="str" cm="1">
        <f t="array" ref="Q17">IF($V17="","",IFERROR(INDEX(Articulacion!N:N,$V17),0))</f>
        <v/>
      </c>
      <c r="R17" s="41" t="str" cm="1">
        <f t="array" ref="R17">IF($V17="","",IFERROR(INDEX(Articulacion!O:O,$V17),0))</f>
        <v/>
      </c>
      <c r="S17" s="41" t="str" cm="1">
        <f t="array" ref="S17">IF($V17="","",IFERROR(INDEX(Articulacion!P:P,$V17),0))</f>
        <v/>
      </c>
      <c r="T17" s="41" t="str" cm="1">
        <f t="array" ref="T17">IF($V17="","",IFERROR(INDEX(Articulacion!Q:Q,$V17),0))</f>
        <v/>
      </c>
      <c r="U17" s="48">
        <f t="shared" si="0"/>
        <v>0</v>
      </c>
      <c r="V17" s="49"/>
      <c r="W17" s="40">
        <v>6</v>
      </c>
      <c r="X17" s="40">
        <v>6</v>
      </c>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6">
        <f t="shared" si="1"/>
        <v>12</v>
      </c>
      <c r="AY17" s="42">
        <f t="shared" si="2"/>
        <v>0</v>
      </c>
    </row>
    <row r="18" spans="1:51" x14ac:dyDescent="0.25">
      <c r="A18" s="38">
        <v>93</v>
      </c>
      <c r="B18" s="39" t="s">
        <v>230</v>
      </c>
      <c r="C18" s="40" t="s">
        <v>231</v>
      </c>
      <c r="D18" s="40" t="s">
        <v>55</v>
      </c>
      <c r="E18" s="40" t="s">
        <v>55</v>
      </c>
      <c r="F18" s="40" t="s">
        <v>55</v>
      </c>
      <c r="G18" s="38">
        <v>30</v>
      </c>
      <c r="H18" s="40">
        <v>10924.37</v>
      </c>
      <c r="I18" s="40">
        <v>0</v>
      </c>
      <c r="J18" s="41" t="str" cm="1">
        <f t="array" ref="J18">IF($V18="","",IFERROR(INDEX(Articulacion!G:G,$V18),0))</f>
        <v/>
      </c>
      <c r="K18" s="41" t="str" cm="1">
        <f t="array" ref="K18">IF($V18="","",IFERROR(INDEX(Articulacion!H:H,$V18),0))</f>
        <v/>
      </c>
      <c r="L18" s="41" t="str" cm="1">
        <f t="array" ref="L18">IF($V18="","",IFERROR(INDEX(Articulacion!I:I,$V18),0))</f>
        <v/>
      </c>
      <c r="M18" s="41" t="str" cm="1">
        <f t="array" ref="M18">IF($V18="","",IFERROR(INDEX(Articulacion!J:J,$V18),0))</f>
        <v/>
      </c>
      <c r="N18" s="41" t="str" cm="1">
        <f t="array" ref="N18">IF($V18="","",IFERROR(INDEX(Articulacion!K:K,$V18),0))</f>
        <v/>
      </c>
      <c r="O18" s="41" t="str" cm="1">
        <f t="array" ref="O18">IF($V18="","",IFERROR(INDEX(Articulacion!L:L,$V18),0))</f>
        <v/>
      </c>
      <c r="P18" s="41" t="str" cm="1">
        <f t="array" ref="P18">IF($V18="","",IFERROR(INDEX(Articulacion!M:M,$V18),0))</f>
        <v/>
      </c>
      <c r="Q18" s="41" t="str" cm="1">
        <f t="array" ref="Q18">IF($V18="","",IFERROR(INDEX(Articulacion!N:N,$V18),0))</f>
        <v/>
      </c>
      <c r="R18" s="41" t="str" cm="1">
        <f t="array" ref="R18">IF($V18="","",IFERROR(INDEX(Articulacion!O:O,$V18),0))</f>
        <v/>
      </c>
      <c r="S18" s="41" t="str" cm="1">
        <f t="array" ref="S18">IF($V18="","",IFERROR(INDEX(Articulacion!P:P,$V18),0))</f>
        <v/>
      </c>
      <c r="T18" s="41" t="str" cm="1">
        <f t="array" ref="T18">IF($V18="","",IFERROR(INDEX(Articulacion!Q:Q,$V18),0))</f>
        <v/>
      </c>
      <c r="U18" s="48">
        <f t="shared" si="0"/>
        <v>0</v>
      </c>
      <c r="V18" s="49"/>
      <c r="W18" s="40">
        <v>2</v>
      </c>
      <c r="X18" s="40">
        <v>2</v>
      </c>
      <c r="Y18" s="40">
        <v>1</v>
      </c>
      <c r="Z18" s="40">
        <v>1</v>
      </c>
      <c r="AA18" s="40">
        <v>1</v>
      </c>
      <c r="AB18" s="40">
        <v>1</v>
      </c>
      <c r="AC18" s="40">
        <v>1</v>
      </c>
      <c r="AD18" s="40">
        <v>1</v>
      </c>
      <c r="AE18" s="40">
        <v>1</v>
      </c>
      <c r="AF18" s="40">
        <v>1</v>
      </c>
      <c r="AG18" s="40">
        <v>1</v>
      </c>
      <c r="AH18" s="40">
        <v>1</v>
      </c>
      <c r="AI18" s="40">
        <v>1</v>
      </c>
      <c r="AJ18" s="40">
        <v>1</v>
      </c>
      <c r="AK18" s="40">
        <v>1</v>
      </c>
      <c r="AL18" s="40">
        <v>1</v>
      </c>
      <c r="AM18" s="40">
        <v>1</v>
      </c>
      <c r="AN18" s="40">
        <v>2</v>
      </c>
      <c r="AO18" s="40">
        <v>1</v>
      </c>
      <c r="AP18" s="40">
        <v>1</v>
      </c>
      <c r="AQ18" s="40">
        <v>1</v>
      </c>
      <c r="AR18" s="40">
        <v>1</v>
      </c>
      <c r="AS18" s="40">
        <v>1</v>
      </c>
      <c r="AT18" s="40">
        <v>1</v>
      </c>
      <c r="AU18" s="40">
        <v>1</v>
      </c>
      <c r="AV18" s="40">
        <v>1</v>
      </c>
      <c r="AW18" s="40">
        <v>1</v>
      </c>
      <c r="AX18" s="46">
        <f t="shared" si="1"/>
        <v>30</v>
      </c>
      <c r="AY18" s="42">
        <f t="shared" si="2"/>
        <v>0</v>
      </c>
    </row>
    <row r="19" spans="1:51" x14ac:dyDescent="0.25">
      <c r="A19" s="38">
        <v>74</v>
      </c>
      <c r="B19" s="39" t="s">
        <v>194</v>
      </c>
      <c r="C19" s="40" t="s">
        <v>195</v>
      </c>
      <c r="D19" s="40" t="s">
        <v>55</v>
      </c>
      <c r="E19" s="40" t="s">
        <v>55</v>
      </c>
      <c r="F19" s="40" t="s">
        <v>55</v>
      </c>
      <c r="G19" s="38">
        <v>87</v>
      </c>
      <c r="H19" s="40">
        <v>4621.8500000000004</v>
      </c>
      <c r="I19" s="40">
        <v>0</v>
      </c>
      <c r="J19" s="41" cm="1">
        <f t="array" ref="J19">IF($V19="","",IFERROR(INDEX(Articulacion!G:G,$V19),0))</f>
        <v>1</v>
      </c>
      <c r="K19" s="41" cm="1">
        <f t="array" ref="K19">IF($V19="","",IFERROR(INDEX(Articulacion!H:H,$V19),0))</f>
        <v>1</v>
      </c>
      <c r="L19" s="41" cm="1">
        <f t="array" ref="L19">IF($V19="","",IFERROR(INDEX(Articulacion!I:I,$V19),0))</f>
        <v>1</v>
      </c>
      <c r="M19" s="41" cm="1">
        <f t="array" ref="M19">IF($V19="","",IFERROR(INDEX(Articulacion!J:J,$V19),0))</f>
        <v>1</v>
      </c>
      <c r="N19" s="41" cm="1">
        <f t="array" ref="N19">IF($V19="","",IFERROR(INDEX(Articulacion!K:K,$V19),0))</f>
        <v>1</v>
      </c>
      <c r="O19" s="41" cm="1">
        <f t="array" ref="O19">IF($V19="","",IFERROR(INDEX(Articulacion!L:L,$V19),0))</f>
        <v>1</v>
      </c>
      <c r="P19" s="41" cm="1">
        <f t="array" ref="P19">IF($V19="","",IFERROR(INDEX(Articulacion!M:M,$V19),0))</f>
        <v>1</v>
      </c>
      <c r="Q19" s="41" cm="1">
        <f t="array" ref="Q19">IF($V19="","",IFERROR(INDEX(Articulacion!N:N,$V19),0))</f>
        <v>0</v>
      </c>
      <c r="R19" s="41" cm="1">
        <f t="array" ref="R19">IF($V19="","",IFERROR(INDEX(Articulacion!O:O,$V19),0))</f>
        <v>0</v>
      </c>
      <c r="S19" s="41" cm="1">
        <f t="array" ref="S19">IF($V19="","",IFERROR(INDEX(Articulacion!P:P,$V19),0))</f>
        <v>0</v>
      </c>
      <c r="T19" s="41" cm="1">
        <f t="array" ref="T19">IF($V19="","",IFERROR(INDEX(Articulacion!Q:Q,$V19),0))</f>
        <v>0</v>
      </c>
      <c r="U19" s="48">
        <f t="shared" si="0"/>
        <v>7</v>
      </c>
      <c r="V19" s="49">
        <v>3</v>
      </c>
      <c r="W19" s="40">
        <v>20</v>
      </c>
      <c r="X19" s="40">
        <v>20</v>
      </c>
      <c r="Y19" s="40">
        <v>5</v>
      </c>
      <c r="Z19" s="40">
        <v>5</v>
      </c>
      <c r="AA19" s="40">
        <v>5</v>
      </c>
      <c r="AB19" s="40">
        <v>5</v>
      </c>
      <c r="AC19" s="40">
        <v>5</v>
      </c>
      <c r="AD19" s="40">
        <v>5</v>
      </c>
      <c r="AE19" s="40">
        <v>5</v>
      </c>
      <c r="AF19" s="40">
        <v>5</v>
      </c>
      <c r="AG19" s="40"/>
      <c r="AH19" s="40"/>
      <c r="AI19" s="40"/>
      <c r="AJ19" s="40"/>
      <c r="AK19" s="40"/>
      <c r="AL19" s="40"/>
      <c r="AM19" s="40"/>
      <c r="AN19" s="40"/>
      <c r="AO19" s="40"/>
      <c r="AP19" s="40"/>
      <c r="AQ19" s="40"/>
      <c r="AR19" s="40"/>
      <c r="AS19" s="40"/>
      <c r="AT19" s="40"/>
      <c r="AU19" s="40"/>
      <c r="AV19" s="40"/>
      <c r="AW19" s="40"/>
      <c r="AX19" s="46">
        <f t="shared" si="1"/>
        <v>80</v>
      </c>
      <c r="AY19" s="42">
        <f t="shared" si="2"/>
        <v>0</v>
      </c>
    </row>
    <row r="20" spans="1:51" x14ac:dyDescent="0.25">
      <c r="A20" s="38">
        <v>26</v>
      </c>
      <c r="B20" s="39" t="s">
        <v>101</v>
      </c>
      <c r="C20" s="40" t="s">
        <v>102</v>
      </c>
      <c r="D20" s="40" t="s">
        <v>55</v>
      </c>
      <c r="E20" s="40" t="s">
        <v>55</v>
      </c>
      <c r="F20" s="40" t="s">
        <v>55</v>
      </c>
      <c r="G20" s="38">
        <v>1</v>
      </c>
      <c r="H20" s="40">
        <v>252100.84</v>
      </c>
      <c r="I20" s="40">
        <v>0</v>
      </c>
      <c r="J20" s="41" t="str" cm="1">
        <f t="array" ref="J20">IF($V20="","",IFERROR(INDEX(Articulacion!G:G,$V20),0))</f>
        <v/>
      </c>
      <c r="K20" s="41" t="str" cm="1">
        <f t="array" ref="K20">IF($V20="","",IFERROR(INDEX(Articulacion!H:H,$V20),0))</f>
        <v/>
      </c>
      <c r="L20" s="41" t="str" cm="1">
        <f t="array" ref="L20">IF($V20="","",IFERROR(INDEX(Articulacion!I:I,$V20),0))</f>
        <v/>
      </c>
      <c r="M20" s="41" t="str" cm="1">
        <f t="array" ref="M20">IF($V20="","",IFERROR(INDEX(Articulacion!J:J,$V20),0))</f>
        <v/>
      </c>
      <c r="N20" s="41" t="str" cm="1">
        <f t="array" ref="N20">IF($V20="","",IFERROR(INDEX(Articulacion!K:K,$V20),0))</f>
        <v/>
      </c>
      <c r="O20" s="41" t="str" cm="1">
        <f t="array" ref="O20">IF($V20="","",IFERROR(INDEX(Articulacion!L:L,$V20),0))</f>
        <v/>
      </c>
      <c r="P20" s="41" t="str" cm="1">
        <f t="array" ref="P20">IF($V20="","",IFERROR(INDEX(Articulacion!M:M,$V20),0))</f>
        <v/>
      </c>
      <c r="Q20" s="41" t="str" cm="1">
        <f t="array" ref="Q20">IF($V20="","",IFERROR(INDEX(Articulacion!N:N,$V20),0))</f>
        <v/>
      </c>
      <c r="R20" s="41" t="str" cm="1">
        <f t="array" ref="R20">IF($V20="","",IFERROR(INDEX(Articulacion!O:O,$V20),0))</f>
        <v/>
      </c>
      <c r="S20" s="41" t="str" cm="1">
        <f t="array" ref="S20">IF($V20="","",IFERROR(INDEX(Articulacion!P:P,$V20),0))</f>
        <v/>
      </c>
      <c r="T20" s="41" t="str" cm="1">
        <f t="array" ref="T20">IF($V20="","",IFERROR(INDEX(Articulacion!Q:Q,$V20),0))</f>
        <v/>
      </c>
      <c r="U20" s="48">
        <f t="shared" si="0"/>
        <v>0</v>
      </c>
      <c r="V20" s="49"/>
      <c r="W20" s="40"/>
      <c r="X20" s="40"/>
      <c r="Y20" s="40"/>
      <c r="Z20" s="40"/>
      <c r="AA20" s="40"/>
      <c r="AB20" s="40"/>
      <c r="AC20" s="40"/>
      <c r="AD20" s="40"/>
      <c r="AE20" s="40"/>
      <c r="AF20" s="40"/>
      <c r="AG20" s="40"/>
      <c r="AH20" s="40"/>
      <c r="AI20" s="40"/>
      <c r="AJ20" s="40"/>
      <c r="AK20" s="40"/>
      <c r="AL20" s="40"/>
      <c r="AM20" s="40"/>
      <c r="AN20" s="40"/>
      <c r="AO20" s="40"/>
      <c r="AP20" s="40"/>
      <c r="AQ20" s="40"/>
      <c r="AR20" s="40"/>
      <c r="AS20" s="40">
        <v>1</v>
      </c>
      <c r="AT20" s="40"/>
      <c r="AU20" s="40"/>
      <c r="AV20" s="40"/>
      <c r="AW20" s="40"/>
      <c r="AX20" s="46">
        <f t="shared" si="1"/>
        <v>1</v>
      </c>
      <c r="AY20" s="42">
        <f t="shared" si="2"/>
        <v>0</v>
      </c>
    </row>
    <row r="21" spans="1:51" x14ac:dyDescent="0.25">
      <c r="A21" s="38">
        <v>71</v>
      </c>
      <c r="B21" s="39" t="s">
        <v>189</v>
      </c>
      <c r="C21" s="40" t="s">
        <v>190</v>
      </c>
      <c r="D21" s="40" t="s">
        <v>55</v>
      </c>
      <c r="E21" s="40" t="s">
        <v>55</v>
      </c>
      <c r="F21" s="40" t="s">
        <v>55</v>
      </c>
      <c r="G21" s="38">
        <v>25</v>
      </c>
      <c r="H21" s="40">
        <v>4201.68</v>
      </c>
      <c r="I21" s="40">
        <v>0</v>
      </c>
      <c r="J21" s="41" cm="1">
        <f t="array" ref="J21">IF($V21="","",IFERROR(INDEX(Articulacion!G:G,$V21),0))</f>
        <v>4</v>
      </c>
      <c r="K21" s="41" cm="1">
        <f t="array" ref="K21">IF($V21="","",IFERROR(INDEX(Articulacion!H:H,$V21),0))</f>
        <v>4</v>
      </c>
      <c r="L21" s="41" cm="1">
        <f t="array" ref="L21">IF($V21="","",IFERROR(INDEX(Articulacion!I:I,$V21),0))</f>
        <v>4</v>
      </c>
      <c r="M21" s="41" cm="1">
        <f t="array" ref="M21">IF($V21="","",IFERROR(INDEX(Articulacion!J:J,$V21),0))</f>
        <v>4</v>
      </c>
      <c r="N21" s="41" cm="1">
        <f t="array" ref="N21">IF($V21="","",IFERROR(INDEX(Articulacion!K:K,$V21),0))</f>
        <v>4</v>
      </c>
      <c r="O21" s="41" cm="1">
        <f t="array" ref="O21">IF($V21="","",IFERROR(INDEX(Articulacion!L:L,$V21),0))</f>
        <v>3</v>
      </c>
      <c r="P21" s="41" cm="1">
        <f t="array" ref="P21">IF($V21="","",IFERROR(INDEX(Articulacion!M:M,$V21),0))</f>
        <v>2</v>
      </c>
      <c r="Q21" s="41" cm="1">
        <f t="array" ref="Q21">IF($V21="","",IFERROR(INDEX(Articulacion!N:N,$V21),0))</f>
        <v>0</v>
      </c>
      <c r="R21" s="41" cm="1">
        <f t="array" ref="R21">IF($V21="","",IFERROR(INDEX(Articulacion!O:O,$V21),0))</f>
        <v>0</v>
      </c>
      <c r="S21" s="41" cm="1">
        <f t="array" ref="S21">IF($V21="","",IFERROR(INDEX(Articulacion!P:P,$V21),0))</f>
        <v>0</v>
      </c>
      <c r="T21" s="41" cm="1">
        <f t="array" ref="T21">IF($V21="","",IFERROR(INDEX(Articulacion!Q:Q,$V21),0))</f>
        <v>0</v>
      </c>
      <c r="U21" s="48">
        <f t="shared" si="0"/>
        <v>25</v>
      </c>
      <c r="V21" s="49">
        <v>4</v>
      </c>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6">
        <f t="shared" si="1"/>
        <v>0</v>
      </c>
      <c r="AY21" s="42">
        <f t="shared" si="2"/>
        <v>0</v>
      </c>
    </row>
    <row r="22" spans="1:51" x14ac:dyDescent="0.25">
      <c r="A22" s="38">
        <v>72</v>
      </c>
      <c r="B22" s="39" t="s">
        <v>191</v>
      </c>
      <c r="C22" s="40" t="s">
        <v>192</v>
      </c>
      <c r="D22" s="40" t="s">
        <v>55</v>
      </c>
      <c r="E22" s="40" t="s">
        <v>55</v>
      </c>
      <c r="F22" s="40" t="s">
        <v>55</v>
      </c>
      <c r="G22" s="38">
        <v>31</v>
      </c>
      <c r="H22" s="40">
        <v>2100.84</v>
      </c>
      <c r="I22" s="40">
        <v>0</v>
      </c>
      <c r="J22" s="41" t="str" cm="1">
        <f t="array" ref="J22">IF($V22="","",IFERROR(INDEX(Articulacion!G:G,$V22),0))</f>
        <v/>
      </c>
      <c r="K22" s="41" t="str" cm="1">
        <f t="array" ref="K22">IF($V22="","",IFERROR(INDEX(Articulacion!H:H,$V22),0))</f>
        <v/>
      </c>
      <c r="L22" s="41" t="str" cm="1">
        <f t="array" ref="L22">IF($V22="","",IFERROR(INDEX(Articulacion!I:I,$V22),0))</f>
        <v/>
      </c>
      <c r="M22" s="41" t="str" cm="1">
        <f t="array" ref="M22">IF($V22="","",IFERROR(INDEX(Articulacion!J:J,$V22),0))</f>
        <v/>
      </c>
      <c r="N22" s="41" t="str" cm="1">
        <f t="array" ref="N22">IF($V22="","",IFERROR(INDEX(Articulacion!K:K,$V22),0))</f>
        <v/>
      </c>
      <c r="O22" s="41" t="str" cm="1">
        <f t="array" ref="O22">IF($V22="","",IFERROR(INDEX(Articulacion!L:L,$V22),0))</f>
        <v/>
      </c>
      <c r="P22" s="41" t="str" cm="1">
        <f t="array" ref="P22">IF($V22="","",IFERROR(INDEX(Articulacion!M:M,$V22),0))</f>
        <v/>
      </c>
      <c r="Q22" s="41" t="str" cm="1">
        <f t="array" ref="Q22">IF($V22="","",IFERROR(INDEX(Articulacion!N:N,$V22),0))</f>
        <v/>
      </c>
      <c r="R22" s="41" t="str" cm="1">
        <f t="array" ref="R22">IF($V22="","",IFERROR(INDEX(Articulacion!O:O,$V22),0))</f>
        <v/>
      </c>
      <c r="S22" s="41" t="str" cm="1">
        <f t="array" ref="S22">IF($V22="","",IFERROR(INDEX(Articulacion!P:P,$V22),0))</f>
        <v/>
      </c>
      <c r="T22" s="41" t="str" cm="1">
        <f t="array" ref="T22">IF($V22="","",IFERROR(INDEX(Articulacion!Q:Q,$V22),0))</f>
        <v/>
      </c>
      <c r="U22" s="48">
        <f t="shared" si="0"/>
        <v>0</v>
      </c>
      <c r="V22" s="49"/>
      <c r="W22" s="44">
        <v>1</v>
      </c>
      <c r="X22" s="44">
        <v>1</v>
      </c>
      <c r="Y22" s="44">
        <v>1</v>
      </c>
      <c r="Z22" s="44">
        <v>1</v>
      </c>
      <c r="AA22" s="44">
        <v>1</v>
      </c>
      <c r="AB22" s="44">
        <v>1</v>
      </c>
      <c r="AC22" s="44">
        <v>1</v>
      </c>
      <c r="AD22" s="45">
        <v>1</v>
      </c>
      <c r="AE22" s="44">
        <v>1</v>
      </c>
      <c r="AF22" s="44">
        <v>1</v>
      </c>
      <c r="AG22" s="44">
        <v>1</v>
      </c>
      <c r="AH22" s="44">
        <v>1</v>
      </c>
      <c r="AI22" s="44">
        <v>1</v>
      </c>
      <c r="AJ22" s="44">
        <v>1</v>
      </c>
      <c r="AK22" s="44">
        <v>1</v>
      </c>
      <c r="AL22" s="44">
        <v>1</v>
      </c>
      <c r="AM22" s="44">
        <v>1</v>
      </c>
      <c r="AN22" s="44">
        <v>2</v>
      </c>
      <c r="AO22" s="44">
        <v>1</v>
      </c>
      <c r="AP22" s="44">
        <v>1</v>
      </c>
      <c r="AQ22" s="44">
        <v>1</v>
      </c>
      <c r="AR22" s="44">
        <v>1</v>
      </c>
      <c r="AS22" s="44">
        <v>1</v>
      </c>
      <c r="AT22" s="44">
        <v>2</v>
      </c>
      <c r="AU22" s="44">
        <v>2</v>
      </c>
      <c r="AV22" s="44">
        <v>2</v>
      </c>
      <c r="AW22" s="44">
        <v>1</v>
      </c>
      <c r="AX22" s="46">
        <f t="shared" si="1"/>
        <v>31</v>
      </c>
      <c r="AY22" s="42">
        <f t="shared" si="2"/>
        <v>0</v>
      </c>
    </row>
    <row r="23" spans="1:51" x14ac:dyDescent="0.25">
      <c r="A23" s="38">
        <v>73</v>
      </c>
      <c r="B23" s="39" t="s">
        <v>189</v>
      </c>
      <c r="C23" s="40" t="s">
        <v>193</v>
      </c>
      <c r="D23" s="40" t="s">
        <v>55</v>
      </c>
      <c r="E23" s="40" t="s">
        <v>55</v>
      </c>
      <c r="F23" s="40" t="s">
        <v>55</v>
      </c>
      <c r="G23" s="38">
        <v>10</v>
      </c>
      <c r="H23" s="40">
        <v>33613.449999999997</v>
      </c>
      <c r="I23" s="40">
        <v>0</v>
      </c>
      <c r="J23" s="41" t="str" cm="1">
        <f t="array" ref="J23">IF($V23="","",IFERROR(INDEX(Articulacion!G:G,$V23),0))</f>
        <v/>
      </c>
      <c r="K23" s="41" t="str" cm="1">
        <f t="array" ref="K23">IF($V23="","",IFERROR(INDEX(Articulacion!H:H,$V23),0))</f>
        <v/>
      </c>
      <c r="L23" s="41" t="str" cm="1">
        <f t="array" ref="L23">IF($V23="","",IFERROR(INDEX(Articulacion!I:I,$V23),0))</f>
        <v/>
      </c>
      <c r="M23" s="41" t="str" cm="1">
        <f t="array" ref="M23">IF($V23="","",IFERROR(INDEX(Articulacion!J:J,$V23),0))</f>
        <v/>
      </c>
      <c r="N23" s="41" t="str" cm="1">
        <f t="array" ref="N23">IF($V23="","",IFERROR(INDEX(Articulacion!K:K,$V23),0))</f>
        <v/>
      </c>
      <c r="O23" s="41" t="str" cm="1">
        <f t="array" ref="O23">IF($V23="","",IFERROR(INDEX(Articulacion!L:L,$V23),0))</f>
        <v/>
      </c>
      <c r="P23" s="41" t="str" cm="1">
        <f t="array" ref="P23">IF($V23="","",IFERROR(INDEX(Articulacion!M:M,$V23),0))</f>
        <v/>
      </c>
      <c r="Q23" s="41" t="str" cm="1">
        <f t="array" ref="Q23">IF($V23="","",IFERROR(INDEX(Articulacion!N:N,$V23),0))</f>
        <v/>
      </c>
      <c r="R23" s="41" t="str" cm="1">
        <f t="array" ref="R23">IF($V23="","",IFERROR(INDEX(Articulacion!O:O,$V23),0))</f>
        <v/>
      </c>
      <c r="S23" s="41" t="str" cm="1">
        <f t="array" ref="S23">IF($V23="","",IFERROR(INDEX(Articulacion!P:P,$V23),0))</f>
        <v/>
      </c>
      <c r="T23" s="41" t="str" cm="1">
        <f t="array" ref="T23">IF($V23="","",IFERROR(INDEX(Articulacion!Q:Q,$V23),0))</f>
        <v/>
      </c>
      <c r="U23" s="48">
        <f t="shared" si="0"/>
        <v>0</v>
      </c>
      <c r="V23" s="49"/>
      <c r="W23" s="40"/>
      <c r="X23" s="40"/>
      <c r="Y23" s="40"/>
      <c r="Z23" s="40"/>
      <c r="AA23" s="40"/>
      <c r="AB23" s="40"/>
      <c r="AC23" s="40"/>
      <c r="AD23" s="40"/>
      <c r="AE23" s="40">
        <v>1</v>
      </c>
      <c r="AF23" s="40">
        <v>1</v>
      </c>
      <c r="AG23" s="40">
        <v>1</v>
      </c>
      <c r="AH23" s="40">
        <v>1</v>
      </c>
      <c r="AI23" s="40">
        <v>1</v>
      </c>
      <c r="AJ23" s="40">
        <v>1</v>
      </c>
      <c r="AK23" s="40">
        <v>1</v>
      </c>
      <c r="AL23" s="40">
        <v>1</v>
      </c>
      <c r="AM23" s="40">
        <v>1</v>
      </c>
      <c r="AN23" s="40">
        <v>1</v>
      </c>
      <c r="AO23" s="40"/>
      <c r="AP23" s="40"/>
      <c r="AQ23" s="40"/>
      <c r="AR23" s="40"/>
      <c r="AS23" s="40"/>
      <c r="AT23" s="40"/>
      <c r="AU23" s="40"/>
      <c r="AV23" s="40"/>
      <c r="AW23" s="40"/>
      <c r="AX23" s="46">
        <f t="shared" si="1"/>
        <v>10</v>
      </c>
      <c r="AY23" s="42">
        <f t="shared" si="2"/>
        <v>0</v>
      </c>
    </row>
    <row r="24" spans="1:51" x14ac:dyDescent="0.25">
      <c r="A24" s="38">
        <v>22</v>
      </c>
      <c r="B24" s="39" t="s">
        <v>91</v>
      </c>
      <c r="C24" s="40" t="s">
        <v>95</v>
      </c>
      <c r="D24" s="40" t="s">
        <v>55</v>
      </c>
      <c r="E24" s="40" t="s">
        <v>55</v>
      </c>
      <c r="F24" s="40" t="s">
        <v>55</v>
      </c>
      <c r="G24" s="38">
        <v>10</v>
      </c>
      <c r="H24" s="40">
        <v>7563.03</v>
      </c>
      <c r="I24" s="40">
        <v>0</v>
      </c>
      <c r="J24" s="41" t="str" cm="1">
        <f t="array" ref="J24">IF($V24="","",IFERROR(INDEX(Articulacion!G:G,$V24),0))</f>
        <v/>
      </c>
      <c r="K24" s="41" t="str" cm="1">
        <f t="array" ref="K24">IF($V24="","",IFERROR(INDEX(Articulacion!H:H,$V24),0))</f>
        <v/>
      </c>
      <c r="L24" s="41" t="str" cm="1">
        <f t="array" ref="L24">IF($V24="","",IFERROR(INDEX(Articulacion!I:I,$V24),0))</f>
        <v/>
      </c>
      <c r="M24" s="41" t="str" cm="1">
        <f t="array" ref="M24">IF($V24="","",IFERROR(INDEX(Articulacion!J:J,$V24),0))</f>
        <v/>
      </c>
      <c r="N24" s="41" t="str" cm="1">
        <f t="array" ref="N24">IF($V24="","",IFERROR(INDEX(Articulacion!K:K,$V24),0))</f>
        <v/>
      </c>
      <c r="O24" s="41" t="str" cm="1">
        <f t="array" ref="O24">IF($V24="","",IFERROR(INDEX(Articulacion!L:L,$V24),0))</f>
        <v/>
      </c>
      <c r="P24" s="41" t="str" cm="1">
        <f t="array" ref="P24">IF($V24="","",IFERROR(INDEX(Articulacion!M:M,$V24),0))</f>
        <v/>
      </c>
      <c r="Q24" s="41" t="str" cm="1">
        <f t="array" ref="Q24">IF($V24="","",IFERROR(INDEX(Articulacion!N:N,$V24),0))</f>
        <v/>
      </c>
      <c r="R24" s="41" t="str" cm="1">
        <f t="array" ref="R24">IF($V24="","",IFERROR(INDEX(Articulacion!O:O,$V24),0))</f>
        <v/>
      </c>
      <c r="S24" s="41" t="str" cm="1">
        <f t="array" ref="S24">IF($V24="","",IFERROR(INDEX(Articulacion!P:P,$V24),0))</f>
        <v/>
      </c>
      <c r="T24" s="41" t="str" cm="1">
        <f t="array" ref="T24">IF($V24="","",IFERROR(INDEX(Articulacion!Q:Q,$V24),0))</f>
        <v/>
      </c>
      <c r="U24" s="48">
        <f t="shared" si="0"/>
        <v>0</v>
      </c>
      <c r="V24" s="49"/>
      <c r="W24" s="40">
        <v>5</v>
      </c>
      <c r="X24" s="40">
        <v>5</v>
      </c>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6">
        <f t="shared" si="1"/>
        <v>10</v>
      </c>
      <c r="AY24" s="42">
        <f t="shared" si="2"/>
        <v>0</v>
      </c>
    </row>
    <row r="25" spans="1:51" x14ac:dyDescent="0.25">
      <c r="A25" s="38">
        <v>70</v>
      </c>
      <c r="B25" s="39" t="s">
        <v>187</v>
      </c>
      <c r="C25" s="40" t="s">
        <v>188</v>
      </c>
      <c r="D25" s="40" t="s">
        <v>55</v>
      </c>
      <c r="E25" s="40" t="s">
        <v>55</v>
      </c>
      <c r="F25" s="40" t="s">
        <v>55</v>
      </c>
      <c r="G25" s="38">
        <v>12</v>
      </c>
      <c r="H25" s="40">
        <v>5042.0200000000004</v>
      </c>
      <c r="I25" s="40">
        <v>0</v>
      </c>
      <c r="J25" s="41" t="str" cm="1">
        <f t="array" ref="J25">IF($V25="","",IFERROR(INDEX(Articulacion!G:G,$V25),0))</f>
        <v/>
      </c>
      <c r="K25" s="41" t="str" cm="1">
        <f t="array" ref="K25">IF($V25="","",IFERROR(INDEX(Articulacion!H:H,$V25),0))</f>
        <v/>
      </c>
      <c r="L25" s="41" t="str" cm="1">
        <f t="array" ref="L25">IF($V25="","",IFERROR(INDEX(Articulacion!I:I,$V25),0))</f>
        <v/>
      </c>
      <c r="M25" s="41" t="str" cm="1">
        <f t="array" ref="M25">IF($V25="","",IFERROR(INDEX(Articulacion!J:J,$V25),0))</f>
        <v/>
      </c>
      <c r="N25" s="41" t="str" cm="1">
        <f t="array" ref="N25">IF($V25="","",IFERROR(INDEX(Articulacion!K:K,$V25),0))</f>
        <v/>
      </c>
      <c r="O25" s="41" t="str" cm="1">
        <f t="array" ref="O25">IF($V25="","",IFERROR(INDEX(Articulacion!L:L,$V25),0))</f>
        <v/>
      </c>
      <c r="P25" s="41" t="str" cm="1">
        <f t="array" ref="P25">IF($V25="","",IFERROR(INDEX(Articulacion!M:M,$V25),0))</f>
        <v/>
      </c>
      <c r="Q25" s="41" t="str" cm="1">
        <f t="array" ref="Q25">IF($V25="","",IFERROR(INDEX(Articulacion!N:N,$V25),0))</f>
        <v/>
      </c>
      <c r="R25" s="41" t="str" cm="1">
        <f t="array" ref="R25">IF($V25="","",IFERROR(INDEX(Articulacion!O:O,$V25),0))</f>
        <v/>
      </c>
      <c r="S25" s="41" t="str" cm="1">
        <f t="array" ref="S25">IF($V25="","",IFERROR(INDEX(Articulacion!P:P,$V25),0))</f>
        <v/>
      </c>
      <c r="T25" s="41" t="str" cm="1">
        <f t="array" ref="T25">IF($V25="","",IFERROR(INDEX(Articulacion!Q:Q,$V25),0))</f>
        <v/>
      </c>
      <c r="U25" s="48">
        <f t="shared" si="0"/>
        <v>0</v>
      </c>
      <c r="V25" s="49"/>
      <c r="W25" s="40">
        <v>1</v>
      </c>
      <c r="X25" s="40">
        <v>1</v>
      </c>
      <c r="Y25" s="40">
        <v>1</v>
      </c>
      <c r="Z25" s="40">
        <v>1</v>
      </c>
      <c r="AA25" s="40">
        <v>1</v>
      </c>
      <c r="AB25" s="40">
        <v>1</v>
      </c>
      <c r="AC25" s="40">
        <v>1</v>
      </c>
      <c r="AD25" s="40">
        <v>1</v>
      </c>
      <c r="AE25" s="40">
        <v>1</v>
      </c>
      <c r="AF25" s="40">
        <v>1</v>
      </c>
      <c r="AG25" s="40">
        <v>1</v>
      </c>
      <c r="AH25" s="40">
        <v>1</v>
      </c>
      <c r="AI25" s="40"/>
      <c r="AJ25" s="40"/>
      <c r="AK25" s="40"/>
      <c r="AL25" s="40"/>
      <c r="AM25" s="40"/>
      <c r="AN25" s="40"/>
      <c r="AO25" s="40"/>
      <c r="AP25" s="40"/>
      <c r="AQ25" s="40"/>
      <c r="AR25" s="40"/>
      <c r="AS25" s="40"/>
      <c r="AT25" s="40"/>
      <c r="AU25" s="40"/>
      <c r="AV25" s="40"/>
      <c r="AW25" s="40"/>
      <c r="AX25" s="46">
        <f t="shared" si="1"/>
        <v>12</v>
      </c>
      <c r="AY25" s="42">
        <f t="shared" si="2"/>
        <v>0</v>
      </c>
    </row>
    <row r="26" spans="1:51" x14ac:dyDescent="0.25">
      <c r="A26" s="38">
        <v>69</v>
      </c>
      <c r="B26" s="39" t="s">
        <v>185</v>
      </c>
      <c r="C26" s="40" t="s">
        <v>186</v>
      </c>
      <c r="D26" s="40" t="s">
        <v>55</v>
      </c>
      <c r="E26" s="40" t="s">
        <v>55</v>
      </c>
      <c r="F26" s="40" t="s">
        <v>55</v>
      </c>
      <c r="G26" s="38">
        <v>8</v>
      </c>
      <c r="H26" s="40">
        <v>5462.18</v>
      </c>
      <c r="I26" s="40">
        <v>0</v>
      </c>
      <c r="J26" s="41" t="str" cm="1">
        <f t="array" ref="J26">IF($V26="","",IFERROR(INDEX(Articulacion!G:G,$V26),0))</f>
        <v/>
      </c>
      <c r="K26" s="41" t="str" cm="1">
        <f t="array" ref="K26">IF($V26="","",IFERROR(INDEX(Articulacion!H:H,$V26),0))</f>
        <v/>
      </c>
      <c r="L26" s="41" t="str" cm="1">
        <f t="array" ref="L26">IF($V26="","",IFERROR(INDEX(Articulacion!I:I,$V26),0))</f>
        <v/>
      </c>
      <c r="M26" s="41" t="str" cm="1">
        <f t="array" ref="M26">IF($V26="","",IFERROR(INDEX(Articulacion!J:J,$V26),0))</f>
        <v/>
      </c>
      <c r="N26" s="41" t="str" cm="1">
        <f t="array" ref="N26">IF($V26="","",IFERROR(INDEX(Articulacion!K:K,$V26),0))</f>
        <v/>
      </c>
      <c r="O26" s="41" t="str" cm="1">
        <f t="array" ref="O26">IF($V26="","",IFERROR(INDEX(Articulacion!L:L,$V26),0))</f>
        <v/>
      </c>
      <c r="P26" s="41" t="str" cm="1">
        <f t="array" ref="P26">IF($V26="","",IFERROR(INDEX(Articulacion!M:M,$V26),0))</f>
        <v/>
      </c>
      <c r="Q26" s="41" t="str" cm="1">
        <f t="array" ref="Q26">IF($V26="","",IFERROR(INDEX(Articulacion!N:N,$V26),0))</f>
        <v/>
      </c>
      <c r="R26" s="41" t="str" cm="1">
        <f t="array" ref="R26">IF($V26="","",IFERROR(INDEX(Articulacion!O:O,$V26),0))</f>
        <v/>
      </c>
      <c r="S26" s="41" t="str" cm="1">
        <f t="array" ref="S26">IF($V26="","",IFERROR(INDEX(Articulacion!P:P,$V26),0))</f>
        <v/>
      </c>
      <c r="T26" s="41" t="str" cm="1">
        <f t="array" ref="T26">IF($V26="","",IFERROR(INDEX(Articulacion!Q:Q,$V26),0))</f>
        <v/>
      </c>
      <c r="U26" s="48">
        <f t="shared" si="0"/>
        <v>0</v>
      </c>
      <c r="V26" s="49"/>
      <c r="W26" s="40"/>
      <c r="X26" s="40"/>
      <c r="Y26" s="40"/>
      <c r="Z26" s="40"/>
      <c r="AA26" s="40"/>
      <c r="AB26" s="40"/>
      <c r="AC26" s="40"/>
      <c r="AD26" s="40"/>
      <c r="AE26" s="40"/>
      <c r="AF26" s="40"/>
      <c r="AG26" s="40"/>
      <c r="AH26" s="40"/>
      <c r="AI26" s="40">
        <v>1</v>
      </c>
      <c r="AJ26" s="40">
        <v>1</v>
      </c>
      <c r="AK26" s="40">
        <v>1</v>
      </c>
      <c r="AL26" s="40">
        <v>1</v>
      </c>
      <c r="AM26" s="40">
        <v>1</v>
      </c>
      <c r="AN26" s="40">
        <v>2</v>
      </c>
      <c r="AO26" s="40">
        <v>1</v>
      </c>
      <c r="AP26" s="40"/>
      <c r="AQ26" s="40"/>
      <c r="AR26" s="40"/>
      <c r="AS26" s="40"/>
      <c r="AT26" s="40"/>
      <c r="AU26" s="40"/>
      <c r="AV26" s="40"/>
      <c r="AW26" s="40"/>
      <c r="AX26" s="46">
        <f t="shared" si="1"/>
        <v>8</v>
      </c>
      <c r="AY26" s="42">
        <f t="shared" si="2"/>
        <v>0</v>
      </c>
    </row>
    <row r="27" spans="1:51" x14ac:dyDescent="0.25">
      <c r="A27" s="38">
        <v>87</v>
      </c>
      <c r="B27" s="39" t="s">
        <v>219</v>
      </c>
      <c r="C27" s="40" t="s">
        <v>220</v>
      </c>
      <c r="D27" s="40" t="s">
        <v>55</v>
      </c>
      <c r="E27" s="40" t="s">
        <v>55</v>
      </c>
      <c r="F27" s="40" t="s">
        <v>55</v>
      </c>
      <c r="G27" s="38">
        <v>11</v>
      </c>
      <c r="H27" s="40">
        <v>26890.76</v>
      </c>
      <c r="I27" s="40">
        <v>0</v>
      </c>
      <c r="J27" s="41" t="str" cm="1">
        <f t="array" ref="J27">IF($V27="","",IFERROR(INDEX(Articulacion!G:G,$V27),0))</f>
        <v/>
      </c>
      <c r="K27" s="41" t="str" cm="1">
        <f t="array" ref="K27">IF($V27="","",IFERROR(INDEX(Articulacion!H:H,$V27),0))</f>
        <v/>
      </c>
      <c r="L27" s="41" t="str" cm="1">
        <f t="array" ref="L27">IF($V27="","",IFERROR(INDEX(Articulacion!I:I,$V27),0))</f>
        <v/>
      </c>
      <c r="M27" s="41" t="str" cm="1">
        <f t="array" ref="M27">IF($V27="","",IFERROR(INDEX(Articulacion!J:J,$V27),0))</f>
        <v/>
      </c>
      <c r="N27" s="41" t="str" cm="1">
        <f t="array" ref="N27">IF($V27="","",IFERROR(INDEX(Articulacion!K:K,$V27),0))</f>
        <v/>
      </c>
      <c r="O27" s="41" t="str" cm="1">
        <f t="array" ref="O27">IF($V27="","",IFERROR(INDEX(Articulacion!L:L,$V27),0))</f>
        <v/>
      </c>
      <c r="P27" s="41" t="str" cm="1">
        <f t="array" ref="P27">IF($V27="","",IFERROR(INDEX(Articulacion!M:M,$V27),0))</f>
        <v/>
      </c>
      <c r="Q27" s="41" t="str" cm="1">
        <f t="array" ref="Q27">IF($V27="","",IFERROR(INDEX(Articulacion!N:N,$V27),0))</f>
        <v/>
      </c>
      <c r="R27" s="41" t="str" cm="1">
        <f t="array" ref="R27">IF($V27="","",IFERROR(INDEX(Articulacion!O:O,$V27),0))</f>
        <v/>
      </c>
      <c r="S27" s="41" t="str" cm="1">
        <f t="array" ref="S27">IF($V27="","",IFERROR(INDEX(Articulacion!P:P,$V27),0))</f>
        <v/>
      </c>
      <c r="T27" s="41" t="str" cm="1">
        <f t="array" ref="T27">IF($V27="","",IFERROR(INDEX(Articulacion!Q:Q,$V27),0))</f>
        <v/>
      </c>
      <c r="U27" s="48">
        <f t="shared" si="0"/>
        <v>0</v>
      </c>
      <c r="V27" s="49"/>
      <c r="W27" s="40">
        <v>5</v>
      </c>
      <c r="X27" s="40">
        <v>5</v>
      </c>
      <c r="Y27" s="40">
        <v>1</v>
      </c>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6">
        <f t="shared" si="1"/>
        <v>11</v>
      </c>
      <c r="AY27" s="42">
        <f t="shared" si="2"/>
        <v>0</v>
      </c>
    </row>
    <row r="28" spans="1:51" x14ac:dyDescent="0.25">
      <c r="A28" s="38">
        <v>68</v>
      </c>
      <c r="B28" s="39" t="s">
        <v>183</v>
      </c>
      <c r="C28" s="40" t="s">
        <v>184</v>
      </c>
      <c r="D28" s="40" t="s">
        <v>55</v>
      </c>
      <c r="E28" s="40" t="s">
        <v>55</v>
      </c>
      <c r="F28" s="40" t="s">
        <v>55</v>
      </c>
      <c r="G28" s="38">
        <v>5</v>
      </c>
      <c r="H28" s="40">
        <v>12605.04</v>
      </c>
      <c r="I28" s="40">
        <v>0</v>
      </c>
      <c r="J28" s="41" t="str" cm="1">
        <f t="array" ref="J28">IF($V28="","",IFERROR(INDEX(Articulacion!G:G,$V28),0))</f>
        <v/>
      </c>
      <c r="K28" s="41" t="str" cm="1">
        <f t="array" ref="K28">IF($V28="","",IFERROR(INDEX(Articulacion!H:H,$V28),0))</f>
        <v/>
      </c>
      <c r="L28" s="41" t="str" cm="1">
        <f t="array" ref="L28">IF($V28="","",IFERROR(INDEX(Articulacion!I:I,$V28),0))</f>
        <v/>
      </c>
      <c r="M28" s="41" t="str" cm="1">
        <f t="array" ref="M28">IF($V28="","",IFERROR(INDEX(Articulacion!J:J,$V28),0))</f>
        <v/>
      </c>
      <c r="N28" s="41" t="str" cm="1">
        <f t="array" ref="N28">IF($V28="","",IFERROR(INDEX(Articulacion!K:K,$V28),0))</f>
        <v/>
      </c>
      <c r="O28" s="41" t="str" cm="1">
        <f t="array" ref="O28">IF($V28="","",IFERROR(INDEX(Articulacion!L:L,$V28),0))</f>
        <v/>
      </c>
      <c r="P28" s="41" t="str" cm="1">
        <f t="array" ref="P28">IF($V28="","",IFERROR(INDEX(Articulacion!M:M,$V28),0))</f>
        <v/>
      </c>
      <c r="Q28" s="41" t="str" cm="1">
        <f t="array" ref="Q28">IF($V28="","",IFERROR(INDEX(Articulacion!N:N,$V28),0))</f>
        <v/>
      </c>
      <c r="R28" s="41" t="str" cm="1">
        <f t="array" ref="R28">IF($V28="","",IFERROR(INDEX(Articulacion!O:O,$V28),0))</f>
        <v/>
      </c>
      <c r="S28" s="41" t="str" cm="1">
        <f t="array" ref="S28">IF($V28="","",IFERROR(INDEX(Articulacion!P:P,$V28),0))</f>
        <v/>
      </c>
      <c r="T28" s="41" t="str" cm="1">
        <f t="array" ref="T28">IF($V28="","",IFERROR(INDEX(Articulacion!Q:Q,$V28),0))</f>
        <v/>
      </c>
      <c r="U28" s="48">
        <f t="shared" si="0"/>
        <v>0</v>
      </c>
      <c r="V28" s="49"/>
      <c r="W28" s="40">
        <v>1</v>
      </c>
      <c r="X28" s="40">
        <v>1</v>
      </c>
      <c r="Y28" s="40">
        <v>1</v>
      </c>
      <c r="Z28" s="40">
        <v>1</v>
      </c>
      <c r="AA28" s="40">
        <v>1</v>
      </c>
      <c r="AB28" s="40"/>
      <c r="AC28" s="40"/>
      <c r="AD28" s="40"/>
      <c r="AE28" s="40"/>
      <c r="AF28" s="40"/>
      <c r="AG28" s="40"/>
      <c r="AH28" s="40"/>
      <c r="AI28" s="40"/>
      <c r="AJ28" s="40"/>
      <c r="AK28" s="40"/>
      <c r="AL28" s="40"/>
      <c r="AM28" s="40"/>
      <c r="AN28" s="40"/>
      <c r="AO28" s="40"/>
      <c r="AP28" s="40"/>
      <c r="AQ28" s="40"/>
      <c r="AR28" s="40"/>
      <c r="AS28" s="40"/>
      <c r="AT28" s="40"/>
      <c r="AU28" s="40"/>
      <c r="AV28" s="40"/>
      <c r="AW28" s="40"/>
      <c r="AX28" s="46">
        <f t="shared" si="1"/>
        <v>5</v>
      </c>
      <c r="AY28" s="42">
        <f t="shared" si="2"/>
        <v>0</v>
      </c>
    </row>
    <row r="29" spans="1:51" x14ac:dyDescent="0.25">
      <c r="A29" s="38">
        <v>66</v>
      </c>
      <c r="B29" s="39" t="s">
        <v>179</v>
      </c>
      <c r="C29" s="40" t="s">
        <v>180</v>
      </c>
      <c r="D29" s="40" t="s">
        <v>55</v>
      </c>
      <c r="E29" s="40" t="s">
        <v>55</v>
      </c>
      <c r="F29" s="40" t="s">
        <v>55</v>
      </c>
      <c r="G29" s="38">
        <v>5</v>
      </c>
      <c r="H29" s="40">
        <v>5042.0200000000004</v>
      </c>
      <c r="I29" s="40">
        <v>0</v>
      </c>
      <c r="J29" s="41" t="str" cm="1">
        <f t="array" ref="J29">IF($V29="","",IFERROR(INDEX(Articulacion!G:G,$V29),0))</f>
        <v/>
      </c>
      <c r="K29" s="41" t="str" cm="1">
        <f t="array" ref="K29">IF($V29="","",IFERROR(INDEX(Articulacion!H:H,$V29),0))</f>
        <v/>
      </c>
      <c r="L29" s="41" t="str" cm="1">
        <f t="array" ref="L29">IF($V29="","",IFERROR(INDEX(Articulacion!I:I,$V29),0))</f>
        <v/>
      </c>
      <c r="M29" s="41" t="str" cm="1">
        <f t="array" ref="M29">IF($V29="","",IFERROR(INDEX(Articulacion!J:J,$V29),0))</f>
        <v/>
      </c>
      <c r="N29" s="41" t="str" cm="1">
        <f t="array" ref="N29">IF($V29="","",IFERROR(INDEX(Articulacion!K:K,$V29),0))</f>
        <v/>
      </c>
      <c r="O29" s="41" t="str" cm="1">
        <f t="array" ref="O29">IF($V29="","",IFERROR(INDEX(Articulacion!L:L,$V29),0))</f>
        <v/>
      </c>
      <c r="P29" s="41" t="str" cm="1">
        <f t="array" ref="P29">IF($V29="","",IFERROR(INDEX(Articulacion!M:M,$V29),0))</f>
        <v/>
      </c>
      <c r="Q29" s="41" t="str" cm="1">
        <f t="array" ref="Q29">IF($V29="","",IFERROR(INDEX(Articulacion!N:N,$V29),0))</f>
        <v/>
      </c>
      <c r="R29" s="41" t="str" cm="1">
        <f t="array" ref="R29">IF($V29="","",IFERROR(INDEX(Articulacion!O:O,$V29),0))</f>
        <v/>
      </c>
      <c r="S29" s="41" t="str" cm="1">
        <f t="array" ref="S29">IF($V29="","",IFERROR(INDEX(Articulacion!P:P,$V29),0))</f>
        <v/>
      </c>
      <c r="T29" s="41" t="str" cm="1">
        <f t="array" ref="T29">IF($V29="","",IFERROR(INDEX(Articulacion!Q:Q,$V29),0))</f>
        <v/>
      </c>
      <c r="U29" s="48">
        <f t="shared" si="0"/>
        <v>0</v>
      </c>
      <c r="V29" s="49"/>
      <c r="W29" s="40"/>
      <c r="X29" s="40"/>
      <c r="Y29" s="40"/>
      <c r="Z29" s="40"/>
      <c r="AA29" s="40"/>
      <c r="AB29" s="40">
        <v>1</v>
      </c>
      <c r="AC29" s="40">
        <v>1</v>
      </c>
      <c r="AD29" s="40">
        <v>1</v>
      </c>
      <c r="AE29" s="40">
        <v>1</v>
      </c>
      <c r="AF29" s="40">
        <v>1</v>
      </c>
      <c r="AG29" s="40"/>
      <c r="AH29" s="40"/>
      <c r="AI29" s="40"/>
      <c r="AJ29" s="40"/>
      <c r="AK29" s="40"/>
      <c r="AL29" s="40"/>
      <c r="AM29" s="40"/>
      <c r="AN29" s="40"/>
      <c r="AO29" s="40"/>
      <c r="AP29" s="40"/>
      <c r="AQ29" s="40"/>
      <c r="AR29" s="40"/>
      <c r="AS29" s="40"/>
      <c r="AT29" s="40"/>
      <c r="AU29" s="40"/>
      <c r="AV29" s="40"/>
      <c r="AW29" s="40"/>
      <c r="AX29" s="46">
        <f t="shared" si="1"/>
        <v>5</v>
      </c>
      <c r="AY29" s="42">
        <f t="shared" si="2"/>
        <v>0</v>
      </c>
    </row>
    <row r="30" spans="1:51" x14ac:dyDescent="0.25">
      <c r="A30" s="38">
        <v>11</v>
      </c>
      <c r="B30" s="39" t="s">
        <v>73</v>
      </c>
      <c r="C30" s="40" t="s">
        <v>74</v>
      </c>
      <c r="D30" s="40" t="s">
        <v>55</v>
      </c>
      <c r="E30" s="40" t="s">
        <v>55</v>
      </c>
      <c r="F30" s="40" t="s">
        <v>55</v>
      </c>
      <c r="G30" s="38">
        <v>1</v>
      </c>
      <c r="H30" s="40">
        <v>19327.73</v>
      </c>
      <c r="I30" s="40">
        <v>0</v>
      </c>
      <c r="J30" s="41" cm="1">
        <f t="array" ref="J30">IF($V30="","",IFERROR(INDEX(Articulacion!G:G,$V30),0))</f>
        <v>0</v>
      </c>
      <c r="K30" s="41" cm="1">
        <f t="array" ref="K30">IF($V30="","",IFERROR(INDEX(Articulacion!H:H,$V30),0))</f>
        <v>0</v>
      </c>
      <c r="L30" s="41" cm="1">
        <f t="array" ref="L30">IF($V30="","",IFERROR(INDEX(Articulacion!I:I,$V30),0))</f>
        <v>0</v>
      </c>
      <c r="M30" s="41" cm="1">
        <f t="array" ref="M30">IF($V30="","",IFERROR(INDEX(Articulacion!J:J,$V30),0))</f>
        <v>1</v>
      </c>
      <c r="N30" s="41" cm="1">
        <f t="array" ref="N30">IF($V30="","",IFERROR(INDEX(Articulacion!K:K,$V30),0))</f>
        <v>0</v>
      </c>
      <c r="O30" s="41" cm="1">
        <f t="array" ref="O30">IF($V30="","",IFERROR(INDEX(Articulacion!L:L,$V30),0))</f>
        <v>0</v>
      </c>
      <c r="P30" s="41" cm="1">
        <f t="array" ref="P30">IF($V30="","",IFERROR(INDEX(Articulacion!M:M,$V30),0))</f>
        <v>0</v>
      </c>
      <c r="Q30" s="41" cm="1">
        <f t="array" ref="Q30">IF($V30="","",IFERROR(INDEX(Articulacion!N:N,$V30),0))</f>
        <v>0</v>
      </c>
      <c r="R30" s="41" cm="1">
        <f t="array" ref="R30">IF($V30="","",IFERROR(INDEX(Articulacion!O:O,$V30),0))</f>
        <v>0</v>
      </c>
      <c r="S30" s="41" cm="1">
        <f t="array" ref="S30">IF($V30="","",IFERROR(INDEX(Articulacion!P:P,$V30),0))</f>
        <v>0</v>
      </c>
      <c r="T30" s="41" cm="1">
        <f t="array" ref="T30">IF($V30="","",IFERROR(INDEX(Articulacion!Q:Q,$V30),0))</f>
        <v>0</v>
      </c>
      <c r="U30" s="48">
        <f t="shared" si="0"/>
        <v>1</v>
      </c>
      <c r="V30" s="49">
        <v>11</v>
      </c>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6">
        <f t="shared" si="1"/>
        <v>0</v>
      </c>
      <c r="AY30" s="42">
        <f t="shared" si="2"/>
        <v>0</v>
      </c>
    </row>
    <row r="31" spans="1:51" x14ac:dyDescent="0.25">
      <c r="A31" s="38">
        <v>60</v>
      </c>
      <c r="B31" s="39" t="s">
        <v>167</v>
      </c>
      <c r="C31" s="40" t="s">
        <v>168</v>
      </c>
      <c r="D31" s="40" t="s">
        <v>55</v>
      </c>
      <c r="E31" s="40" t="s">
        <v>55</v>
      </c>
      <c r="F31" s="40" t="s">
        <v>55</v>
      </c>
      <c r="G31" s="38">
        <v>5</v>
      </c>
      <c r="H31" s="40">
        <v>50420.17</v>
      </c>
      <c r="I31" s="40">
        <v>0</v>
      </c>
      <c r="J31" s="41" t="str" cm="1">
        <f t="array" ref="J31">IF($V31="","",IFERROR(INDEX(Articulacion!G:G,$V31),0))</f>
        <v/>
      </c>
      <c r="K31" s="41" t="str" cm="1">
        <f t="array" ref="K31">IF($V31="","",IFERROR(INDEX(Articulacion!H:H,$V31),0))</f>
        <v/>
      </c>
      <c r="L31" s="41" t="str" cm="1">
        <f t="array" ref="L31">IF($V31="","",IFERROR(INDEX(Articulacion!I:I,$V31),0))</f>
        <v/>
      </c>
      <c r="M31" s="41" t="str" cm="1">
        <f t="array" ref="M31">IF($V31="","",IFERROR(INDEX(Articulacion!J:J,$V31),0))</f>
        <v/>
      </c>
      <c r="N31" s="41" t="str" cm="1">
        <f t="array" ref="N31">IF($V31="","",IFERROR(INDEX(Articulacion!K:K,$V31),0))</f>
        <v/>
      </c>
      <c r="O31" s="41" t="str" cm="1">
        <f t="array" ref="O31">IF($V31="","",IFERROR(INDEX(Articulacion!L:L,$V31),0))</f>
        <v/>
      </c>
      <c r="P31" s="41" t="str" cm="1">
        <f t="array" ref="P31">IF($V31="","",IFERROR(INDEX(Articulacion!M:M,$V31),0))</f>
        <v/>
      </c>
      <c r="Q31" s="41" t="str" cm="1">
        <f t="array" ref="Q31">IF($V31="","",IFERROR(INDEX(Articulacion!N:N,$V31),0))</f>
        <v/>
      </c>
      <c r="R31" s="41" t="str" cm="1">
        <f t="array" ref="R31">IF($V31="","",IFERROR(INDEX(Articulacion!O:O,$V31),0))</f>
        <v/>
      </c>
      <c r="S31" s="41" t="str" cm="1">
        <f t="array" ref="S31">IF($V31="","",IFERROR(INDEX(Articulacion!P:P,$V31),0))</f>
        <v/>
      </c>
      <c r="T31" s="41" t="str" cm="1">
        <f t="array" ref="T31">IF($V31="","",IFERROR(INDEX(Articulacion!Q:Q,$V31),0))</f>
        <v/>
      </c>
      <c r="U31" s="48">
        <f t="shared" si="0"/>
        <v>0</v>
      </c>
      <c r="V31" s="49"/>
      <c r="W31" s="41"/>
      <c r="X31" s="41"/>
      <c r="Y31" s="41"/>
      <c r="Z31" s="41"/>
      <c r="AA31" s="41"/>
      <c r="AB31" s="41"/>
      <c r="AC31" s="41"/>
      <c r="AD31" s="41"/>
      <c r="AE31" s="41"/>
      <c r="AF31" s="41"/>
      <c r="AG31" s="41"/>
      <c r="AH31" s="41"/>
      <c r="AI31" s="41"/>
      <c r="AJ31" s="41"/>
      <c r="AK31" s="41"/>
      <c r="AL31" s="41"/>
      <c r="AM31" s="41"/>
      <c r="AN31" s="41">
        <v>2</v>
      </c>
      <c r="AO31" s="41">
        <v>1</v>
      </c>
      <c r="AP31" s="41">
        <v>1</v>
      </c>
      <c r="AQ31" s="41">
        <v>1</v>
      </c>
      <c r="AR31" s="41"/>
      <c r="AS31" s="41"/>
      <c r="AT31" s="41"/>
      <c r="AU31" s="41"/>
      <c r="AV31" s="41"/>
      <c r="AW31" s="41"/>
      <c r="AX31" s="46">
        <f t="shared" si="1"/>
        <v>5</v>
      </c>
      <c r="AY31" s="42">
        <f t="shared" si="2"/>
        <v>0</v>
      </c>
    </row>
    <row r="32" spans="1:51" x14ac:dyDescent="0.25">
      <c r="A32" s="38">
        <v>64</v>
      </c>
      <c r="B32" s="39" t="s">
        <v>175</v>
      </c>
      <c r="C32" s="40" t="s">
        <v>176</v>
      </c>
      <c r="D32" s="40" t="s">
        <v>55</v>
      </c>
      <c r="E32" s="40" t="s">
        <v>55</v>
      </c>
      <c r="F32" s="40" t="s">
        <v>55</v>
      </c>
      <c r="G32" s="38">
        <v>17</v>
      </c>
      <c r="H32" s="40">
        <v>31092.44</v>
      </c>
      <c r="I32" s="40">
        <v>0</v>
      </c>
      <c r="J32" s="41" cm="1">
        <f t="array" ref="J32">IF($V32="","",IFERROR(INDEX(Articulacion!G:G,$V32),0))</f>
        <v>1</v>
      </c>
      <c r="K32" s="41" cm="1">
        <f t="array" ref="K32">IF($V32="","",IFERROR(INDEX(Articulacion!H:H,$V32),0))</f>
        <v>0</v>
      </c>
      <c r="L32" s="41" cm="1">
        <f t="array" ref="L32">IF($V32="","",IFERROR(INDEX(Articulacion!I:I,$V32),0))</f>
        <v>0</v>
      </c>
      <c r="M32" s="41" cm="1">
        <f t="array" ref="M32">IF($V32="","",IFERROR(INDEX(Articulacion!J:J,$V32),0))</f>
        <v>0</v>
      </c>
      <c r="N32" s="41" cm="1">
        <f t="array" ref="N32">IF($V32="","",IFERROR(INDEX(Articulacion!K:K,$V32),0))</f>
        <v>0</v>
      </c>
      <c r="O32" s="41" cm="1">
        <f t="array" ref="O32">IF($V32="","",IFERROR(INDEX(Articulacion!L:L,$V32),0))</f>
        <v>0</v>
      </c>
      <c r="P32" s="41" cm="1">
        <f t="array" ref="P32">IF($V32="","",IFERROR(INDEX(Articulacion!M:M,$V32),0))</f>
        <v>1</v>
      </c>
      <c r="Q32" s="41" cm="1">
        <f t="array" ref="Q32">IF($V32="","",IFERROR(INDEX(Articulacion!N:N,$V32),0))</f>
        <v>0</v>
      </c>
      <c r="R32" s="41" cm="1">
        <f t="array" ref="R32">IF($V32="","",IFERROR(INDEX(Articulacion!O:O,$V32),0))</f>
        <v>0</v>
      </c>
      <c r="S32" s="41" cm="1">
        <f t="array" ref="S32">IF($V32="","",IFERROR(INDEX(Articulacion!P:P,$V32),0))</f>
        <v>0</v>
      </c>
      <c r="T32" s="41" cm="1">
        <f t="array" ref="T32">IF($V32="","",IFERROR(INDEX(Articulacion!Q:Q,$V32),0))</f>
        <v>0</v>
      </c>
      <c r="U32" s="48">
        <f t="shared" si="0"/>
        <v>2</v>
      </c>
      <c r="V32" s="49">
        <v>5</v>
      </c>
      <c r="W32" s="40"/>
      <c r="X32" s="40"/>
      <c r="Y32" s="40"/>
      <c r="Z32" s="40"/>
      <c r="AA32" s="40"/>
      <c r="AB32" s="40"/>
      <c r="AC32" s="40"/>
      <c r="AD32" s="40"/>
      <c r="AE32" s="40"/>
      <c r="AF32" s="40"/>
      <c r="AG32" s="40"/>
      <c r="AH32" s="40"/>
      <c r="AI32" s="40"/>
      <c r="AJ32" s="40">
        <v>1</v>
      </c>
      <c r="AK32" s="40">
        <v>1</v>
      </c>
      <c r="AL32" s="40">
        <v>1</v>
      </c>
      <c r="AM32" s="40">
        <v>1</v>
      </c>
      <c r="AN32" s="40">
        <v>2</v>
      </c>
      <c r="AO32" s="40">
        <v>1</v>
      </c>
      <c r="AP32" s="40">
        <v>1</v>
      </c>
      <c r="AQ32" s="40">
        <v>1</v>
      </c>
      <c r="AR32" s="40">
        <v>1</v>
      </c>
      <c r="AS32" s="40">
        <v>1</v>
      </c>
      <c r="AT32" s="40">
        <v>1</v>
      </c>
      <c r="AU32" s="40">
        <v>1</v>
      </c>
      <c r="AV32" s="40">
        <v>1</v>
      </c>
      <c r="AW32" s="40">
        <v>1</v>
      </c>
      <c r="AX32" s="46">
        <f t="shared" si="1"/>
        <v>15</v>
      </c>
      <c r="AY32" s="42">
        <f t="shared" si="2"/>
        <v>0</v>
      </c>
    </row>
    <row r="33" spans="1:51" x14ac:dyDescent="0.25">
      <c r="A33" s="38">
        <v>20</v>
      </c>
      <c r="B33" s="39" t="s">
        <v>91</v>
      </c>
      <c r="C33" s="40" t="s">
        <v>92</v>
      </c>
      <c r="D33" s="40" t="s">
        <v>55</v>
      </c>
      <c r="E33" s="40" t="s">
        <v>55</v>
      </c>
      <c r="F33" s="40" t="s">
        <v>55</v>
      </c>
      <c r="G33" s="38">
        <v>7</v>
      </c>
      <c r="H33" s="40">
        <v>50420.17</v>
      </c>
      <c r="I33" s="40">
        <v>0</v>
      </c>
      <c r="J33" s="41" t="str" cm="1">
        <f t="array" ref="J33">IF($V33="","",IFERROR(INDEX(Articulacion!G:G,$V33),0))</f>
        <v/>
      </c>
      <c r="K33" s="41" t="str" cm="1">
        <f t="array" ref="K33">IF($V33="","",IFERROR(INDEX(Articulacion!H:H,$V33),0))</f>
        <v/>
      </c>
      <c r="L33" s="41" t="str" cm="1">
        <f t="array" ref="L33">IF($V33="","",IFERROR(INDEX(Articulacion!I:I,$V33),0))</f>
        <v/>
      </c>
      <c r="M33" s="41" t="str" cm="1">
        <f t="array" ref="M33">IF($V33="","",IFERROR(INDEX(Articulacion!J:J,$V33),0))</f>
        <v/>
      </c>
      <c r="N33" s="41" t="str" cm="1">
        <f t="array" ref="N33">IF($V33="","",IFERROR(INDEX(Articulacion!K:K,$V33),0))</f>
        <v/>
      </c>
      <c r="O33" s="41" t="str" cm="1">
        <f t="array" ref="O33">IF($V33="","",IFERROR(INDEX(Articulacion!L:L,$V33),0))</f>
        <v/>
      </c>
      <c r="P33" s="41" t="str" cm="1">
        <f t="array" ref="P33">IF($V33="","",IFERROR(INDEX(Articulacion!M:M,$V33),0))</f>
        <v/>
      </c>
      <c r="Q33" s="41" t="str" cm="1">
        <f t="array" ref="Q33">IF($V33="","",IFERROR(INDEX(Articulacion!N:N,$V33),0))</f>
        <v/>
      </c>
      <c r="R33" s="41" t="str" cm="1">
        <f t="array" ref="R33">IF($V33="","",IFERROR(INDEX(Articulacion!O:O,$V33),0))</f>
        <v/>
      </c>
      <c r="S33" s="41" t="str" cm="1">
        <f t="array" ref="S33">IF($V33="","",IFERROR(INDEX(Articulacion!P:P,$V33),0))</f>
        <v/>
      </c>
      <c r="T33" s="41" t="str" cm="1">
        <f t="array" ref="T33">IF($V33="","",IFERROR(INDEX(Articulacion!Q:Q,$V33),0))</f>
        <v/>
      </c>
      <c r="U33" s="48">
        <f t="shared" si="0"/>
        <v>0</v>
      </c>
      <c r="V33" s="49"/>
      <c r="W33" s="44"/>
      <c r="X33" s="44"/>
      <c r="Y33" s="44"/>
      <c r="Z33" s="44"/>
      <c r="AA33" s="44"/>
      <c r="AB33" s="44"/>
      <c r="AC33" s="44"/>
      <c r="AD33" s="45"/>
      <c r="AE33" s="44"/>
      <c r="AF33" s="44"/>
      <c r="AG33" s="44"/>
      <c r="AH33" s="44"/>
      <c r="AI33" s="44"/>
      <c r="AJ33" s="44"/>
      <c r="AK33" s="44"/>
      <c r="AL33" s="44"/>
      <c r="AM33" s="44"/>
      <c r="AN33" s="44"/>
      <c r="AO33" s="44"/>
      <c r="AP33" s="44"/>
      <c r="AQ33" s="44">
        <v>4</v>
      </c>
      <c r="AR33" s="44">
        <v>3</v>
      </c>
      <c r="AS33" s="44"/>
      <c r="AT33" s="44"/>
      <c r="AU33" s="44"/>
      <c r="AV33" s="44"/>
      <c r="AW33" s="44"/>
      <c r="AX33" s="46">
        <f t="shared" si="1"/>
        <v>7</v>
      </c>
      <c r="AY33" s="42">
        <f t="shared" si="2"/>
        <v>0</v>
      </c>
    </row>
    <row r="34" spans="1:51" x14ac:dyDescent="0.25">
      <c r="A34" s="38">
        <v>63</v>
      </c>
      <c r="B34" s="39" t="s">
        <v>173</v>
      </c>
      <c r="C34" s="40" t="s">
        <v>174</v>
      </c>
      <c r="D34" s="40" t="s">
        <v>55</v>
      </c>
      <c r="E34" s="40" t="s">
        <v>55</v>
      </c>
      <c r="F34" s="40" t="s">
        <v>55</v>
      </c>
      <c r="G34" s="38">
        <v>8</v>
      </c>
      <c r="H34" s="40">
        <v>4621.8500000000004</v>
      </c>
      <c r="I34" s="40">
        <v>0</v>
      </c>
      <c r="J34" s="41" t="str" cm="1">
        <f t="array" ref="J34">IF($V34="","",IFERROR(INDEX(Articulacion!G:G,$V34),0))</f>
        <v/>
      </c>
      <c r="K34" s="41" t="str" cm="1">
        <f t="array" ref="K34">IF($V34="","",IFERROR(INDEX(Articulacion!H:H,$V34),0))</f>
        <v/>
      </c>
      <c r="L34" s="41" t="str" cm="1">
        <f t="array" ref="L34">IF($V34="","",IFERROR(INDEX(Articulacion!I:I,$V34),0))</f>
        <v/>
      </c>
      <c r="M34" s="41" t="str" cm="1">
        <f t="array" ref="M34">IF($V34="","",IFERROR(INDEX(Articulacion!J:J,$V34),0))</f>
        <v/>
      </c>
      <c r="N34" s="41" t="str" cm="1">
        <f t="array" ref="N34">IF($V34="","",IFERROR(INDEX(Articulacion!K:K,$V34),0))</f>
        <v/>
      </c>
      <c r="O34" s="41" t="str" cm="1">
        <f t="array" ref="O34">IF($V34="","",IFERROR(INDEX(Articulacion!L:L,$V34),0))</f>
        <v/>
      </c>
      <c r="P34" s="41" t="str" cm="1">
        <f t="array" ref="P34">IF($V34="","",IFERROR(INDEX(Articulacion!M:M,$V34),0))</f>
        <v/>
      </c>
      <c r="Q34" s="41" t="str" cm="1">
        <f t="array" ref="Q34">IF($V34="","",IFERROR(INDEX(Articulacion!N:N,$V34),0))</f>
        <v/>
      </c>
      <c r="R34" s="41" t="str" cm="1">
        <f t="array" ref="R34">IF($V34="","",IFERROR(INDEX(Articulacion!O:O,$V34),0))</f>
        <v/>
      </c>
      <c r="S34" s="41" t="str" cm="1">
        <f t="array" ref="S34">IF($V34="","",IFERROR(INDEX(Articulacion!P:P,$V34),0))</f>
        <v/>
      </c>
      <c r="T34" s="41" t="str" cm="1">
        <f t="array" ref="T34">IF($V34="","",IFERROR(INDEX(Articulacion!Q:Q,$V34),0))</f>
        <v/>
      </c>
      <c r="U34" s="48">
        <f t="shared" si="0"/>
        <v>0</v>
      </c>
      <c r="V34" s="49"/>
      <c r="W34" s="40"/>
      <c r="X34" s="40"/>
      <c r="Y34" s="40"/>
      <c r="Z34" s="40"/>
      <c r="AA34" s="40"/>
      <c r="AB34" s="40"/>
      <c r="AC34" s="40"/>
      <c r="AD34" s="40"/>
      <c r="AE34" s="40"/>
      <c r="AF34" s="40"/>
      <c r="AG34" s="40"/>
      <c r="AH34" s="40"/>
      <c r="AI34" s="40"/>
      <c r="AJ34" s="40"/>
      <c r="AK34" s="40"/>
      <c r="AL34" s="40"/>
      <c r="AM34" s="40"/>
      <c r="AN34" s="40">
        <v>1</v>
      </c>
      <c r="AO34" s="40">
        <v>1</v>
      </c>
      <c r="AP34" s="40">
        <v>1</v>
      </c>
      <c r="AQ34" s="40">
        <v>1</v>
      </c>
      <c r="AR34" s="40">
        <v>1</v>
      </c>
      <c r="AS34" s="40">
        <v>1</v>
      </c>
      <c r="AT34" s="40">
        <v>1</v>
      </c>
      <c r="AU34" s="40">
        <v>1</v>
      </c>
      <c r="AV34" s="40"/>
      <c r="AW34" s="40"/>
      <c r="AX34" s="46">
        <f t="shared" si="1"/>
        <v>8</v>
      </c>
      <c r="AY34" s="42">
        <f t="shared" si="2"/>
        <v>0</v>
      </c>
    </row>
    <row r="35" spans="1:51" x14ac:dyDescent="0.25">
      <c r="A35" s="38">
        <v>62</v>
      </c>
      <c r="B35" s="39" t="s">
        <v>171</v>
      </c>
      <c r="C35" s="40" t="s">
        <v>172</v>
      </c>
      <c r="D35" s="40" t="s">
        <v>55</v>
      </c>
      <c r="E35" s="40" t="s">
        <v>55</v>
      </c>
      <c r="F35" s="40" t="s">
        <v>55</v>
      </c>
      <c r="G35" s="38">
        <v>10</v>
      </c>
      <c r="H35" s="40">
        <v>22689.08</v>
      </c>
      <c r="I35" s="40">
        <v>0</v>
      </c>
      <c r="J35" s="41" t="str" cm="1">
        <f t="array" ref="J35">IF($V35="","",IFERROR(INDEX(Articulacion!G:G,$V35),0))</f>
        <v/>
      </c>
      <c r="K35" s="41" t="str" cm="1">
        <f t="array" ref="K35">IF($V35="","",IFERROR(INDEX(Articulacion!H:H,$V35),0))</f>
        <v/>
      </c>
      <c r="L35" s="41" t="str" cm="1">
        <f t="array" ref="L35">IF($V35="","",IFERROR(INDEX(Articulacion!I:I,$V35),0))</f>
        <v/>
      </c>
      <c r="M35" s="41" t="str" cm="1">
        <f t="array" ref="M35">IF($V35="","",IFERROR(INDEX(Articulacion!J:J,$V35),0))</f>
        <v/>
      </c>
      <c r="N35" s="41" t="str" cm="1">
        <f t="array" ref="N35">IF($V35="","",IFERROR(INDEX(Articulacion!K:K,$V35),0))</f>
        <v/>
      </c>
      <c r="O35" s="41" t="str" cm="1">
        <f t="array" ref="O35">IF($V35="","",IFERROR(INDEX(Articulacion!L:L,$V35),0))</f>
        <v/>
      </c>
      <c r="P35" s="41" t="str" cm="1">
        <f t="array" ref="P35">IF($V35="","",IFERROR(INDEX(Articulacion!M:M,$V35),0))</f>
        <v/>
      </c>
      <c r="Q35" s="41" t="str" cm="1">
        <f t="array" ref="Q35">IF($V35="","",IFERROR(INDEX(Articulacion!N:N,$V35),0))</f>
        <v/>
      </c>
      <c r="R35" s="41" t="str" cm="1">
        <f t="array" ref="R35">IF($V35="","",IFERROR(INDEX(Articulacion!O:O,$V35),0))</f>
        <v/>
      </c>
      <c r="S35" s="41" t="str" cm="1">
        <f t="array" ref="S35">IF($V35="","",IFERROR(INDEX(Articulacion!P:P,$V35),0))</f>
        <v/>
      </c>
      <c r="T35" s="41" t="str" cm="1">
        <f t="array" ref="T35">IF($V35="","",IFERROR(INDEX(Articulacion!Q:Q,$V35),0))</f>
        <v/>
      </c>
      <c r="U35" s="48">
        <f t="shared" ref="U35:U66" si="3">IF($V35="",0,SUM(J35:T35))</f>
        <v>0</v>
      </c>
      <c r="V35" s="49"/>
      <c r="W35" s="40">
        <v>1</v>
      </c>
      <c r="X35" s="40">
        <v>1</v>
      </c>
      <c r="Y35" s="40">
        <v>1</v>
      </c>
      <c r="Z35" s="40">
        <v>1</v>
      </c>
      <c r="AA35" s="40">
        <v>1</v>
      </c>
      <c r="AB35" s="40">
        <v>1</v>
      </c>
      <c r="AC35" s="40">
        <v>1</v>
      </c>
      <c r="AD35" s="40">
        <v>1</v>
      </c>
      <c r="AE35" s="40">
        <v>1</v>
      </c>
      <c r="AF35" s="40">
        <v>1</v>
      </c>
      <c r="AG35" s="40"/>
      <c r="AH35" s="40"/>
      <c r="AI35" s="40"/>
      <c r="AJ35" s="40"/>
      <c r="AK35" s="40"/>
      <c r="AL35" s="40"/>
      <c r="AM35" s="40"/>
      <c r="AN35" s="40"/>
      <c r="AO35" s="40"/>
      <c r="AP35" s="40"/>
      <c r="AQ35" s="40"/>
      <c r="AR35" s="40"/>
      <c r="AS35" s="40"/>
      <c r="AT35" s="40"/>
      <c r="AU35" s="40"/>
      <c r="AV35" s="40"/>
      <c r="AW35" s="40"/>
      <c r="AX35" s="46">
        <f t="shared" si="1"/>
        <v>10</v>
      </c>
      <c r="AY35" s="42">
        <f t="shared" si="2"/>
        <v>0</v>
      </c>
    </row>
    <row r="36" spans="1:51" x14ac:dyDescent="0.25">
      <c r="A36" s="38">
        <v>16</v>
      </c>
      <c r="B36" s="39" t="s">
        <v>83</v>
      </c>
      <c r="C36" s="40" t="s">
        <v>84</v>
      </c>
      <c r="D36" s="40" t="s">
        <v>55</v>
      </c>
      <c r="E36" s="40" t="s">
        <v>55</v>
      </c>
      <c r="F36" s="40" t="s">
        <v>55</v>
      </c>
      <c r="G36" s="38">
        <v>6</v>
      </c>
      <c r="H36" s="40">
        <v>12605.04</v>
      </c>
      <c r="I36" s="40">
        <v>0</v>
      </c>
      <c r="J36" s="41" t="str" cm="1">
        <f t="array" ref="J36">IF($V36="","",IFERROR(INDEX(Articulacion!G:G,$V36),0))</f>
        <v/>
      </c>
      <c r="K36" s="41" t="str" cm="1">
        <f t="array" ref="K36">IF($V36="","",IFERROR(INDEX(Articulacion!H:H,$V36),0))</f>
        <v/>
      </c>
      <c r="L36" s="41" t="str" cm="1">
        <f t="array" ref="L36">IF($V36="","",IFERROR(INDEX(Articulacion!I:I,$V36),0))</f>
        <v/>
      </c>
      <c r="M36" s="41" t="str" cm="1">
        <f t="array" ref="M36">IF($V36="","",IFERROR(INDEX(Articulacion!J:J,$V36),0))</f>
        <v/>
      </c>
      <c r="N36" s="41" t="str" cm="1">
        <f t="array" ref="N36">IF($V36="","",IFERROR(INDEX(Articulacion!K:K,$V36),0))</f>
        <v/>
      </c>
      <c r="O36" s="41" t="str" cm="1">
        <f t="array" ref="O36">IF($V36="","",IFERROR(INDEX(Articulacion!L:L,$V36),0))</f>
        <v/>
      </c>
      <c r="P36" s="41" t="str" cm="1">
        <f t="array" ref="P36">IF($V36="","",IFERROR(INDEX(Articulacion!M:M,$V36),0))</f>
        <v/>
      </c>
      <c r="Q36" s="41" t="str" cm="1">
        <f t="array" ref="Q36">IF($V36="","",IFERROR(INDEX(Articulacion!N:N,$V36),0))</f>
        <v/>
      </c>
      <c r="R36" s="41" t="str" cm="1">
        <f t="array" ref="R36">IF($V36="","",IFERROR(INDEX(Articulacion!O:O,$V36),0))</f>
        <v/>
      </c>
      <c r="S36" s="41" t="str" cm="1">
        <f t="array" ref="S36">IF($V36="","",IFERROR(INDEX(Articulacion!P:P,$V36),0))</f>
        <v/>
      </c>
      <c r="T36" s="41" t="str" cm="1">
        <f t="array" ref="T36">IF($V36="","",IFERROR(INDEX(Articulacion!Q:Q,$V36),0))</f>
        <v/>
      </c>
      <c r="U36" s="48">
        <f t="shared" si="3"/>
        <v>0</v>
      </c>
      <c r="V36" s="49"/>
      <c r="W36" s="40"/>
      <c r="X36" s="40"/>
      <c r="Y36" s="40"/>
      <c r="Z36" s="40"/>
      <c r="AA36" s="40"/>
      <c r="AB36" s="40"/>
      <c r="AC36" s="40"/>
      <c r="AD36" s="40"/>
      <c r="AE36" s="40"/>
      <c r="AF36" s="40"/>
      <c r="AG36" s="40">
        <v>1</v>
      </c>
      <c r="AH36" s="40">
        <v>1</v>
      </c>
      <c r="AI36" s="40">
        <v>1</v>
      </c>
      <c r="AJ36" s="40">
        <v>1</v>
      </c>
      <c r="AK36" s="40">
        <v>1</v>
      </c>
      <c r="AL36" s="40">
        <v>1</v>
      </c>
      <c r="AM36" s="40"/>
      <c r="AN36" s="40"/>
      <c r="AO36" s="40"/>
      <c r="AP36" s="40"/>
      <c r="AQ36" s="40"/>
      <c r="AR36" s="40"/>
      <c r="AS36" s="40"/>
      <c r="AT36" s="40"/>
      <c r="AU36" s="40"/>
      <c r="AV36" s="40"/>
      <c r="AW36" s="40"/>
      <c r="AX36" s="46">
        <f t="shared" si="1"/>
        <v>6</v>
      </c>
      <c r="AY36" s="42">
        <f t="shared" si="2"/>
        <v>0</v>
      </c>
    </row>
    <row r="37" spans="1:51" x14ac:dyDescent="0.25">
      <c r="A37" s="38">
        <v>9</v>
      </c>
      <c r="B37" s="39" t="s">
        <v>69</v>
      </c>
      <c r="C37" s="40" t="s">
        <v>70</v>
      </c>
      <c r="D37" s="40" t="s">
        <v>55</v>
      </c>
      <c r="E37" s="40" t="s">
        <v>55</v>
      </c>
      <c r="F37" s="40" t="s">
        <v>55</v>
      </c>
      <c r="G37" s="38">
        <v>3</v>
      </c>
      <c r="H37" s="40">
        <v>37815.129999999997</v>
      </c>
      <c r="I37" s="40">
        <v>0</v>
      </c>
      <c r="J37" s="41" cm="1">
        <f t="array" ref="J37">IF($V37="","",IFERROR(INDEX(Articulacion!G:G,$V37),0))</f>
        <v>1</v>
      </c>
      <c r="K37" s="41" cm="1">
        <f t="array" ref="K37">IF($V37="","",IFERROR(INDEX(Articulacion!H:H,$V37),0))</f>
        <v>1</v>
      </c>
      <c r="L37" s="41" cm="1">
        <f t="array" ref="L37">IF($V37="","",IFERROR(INDEX(Articulacion!I:I,$V37),0))</f>
        <v>1</v>
      </c>
      <c r="M37" s="41" cm="1">
        <f t="array" ref="M37">IF($V37="","",IFERROR(INDEX(Articulacion!J:J,$V37),0))</f>
        <v>0</v>
      </c>
      <c r="N37" s="41" cm="1">
        <f t="array" ref="N37">IF($V37="","",IFERROR(INDEX(Articulacion!K:K,$V37),0))</f>
        <v>0</v>
      </c>
      <c r="O37" s="41" cm="1">
        <f t="array" ref="O37">IF($V37="","",IFERROR(INDEX(Articulacion!L:L,$V37),0))</f>
        <v>0</v>
      </c>
      <c r="P37" s="41" cm="1">
        <f t="array" ref="P37">IF($V37="","",IFERROR(INDEX(Articulacion!M:M,$V37),0))</f>
        <v>0</v>
      </c>
      <c r="Q37" s="41" cm="1">
        <f t="array" ref="Q37">IF($V37="","",IFERROR(INDEX(Articulacion!N:N,$V37),0))</f>
        <v>0</v>
      </c>
      <c r="R37" s="41" cm="1">
        <f t="array" ref="R37">IF($V37="","",IFERROR(INDEX(Articulacion!O:O,$V37),0))</f>
        <v>0</v>
      </c>
      <c r="S37" s="41" cm="1">
        <f t="array" ref="S37">IF($V37="","",IFERROR(INDEX(Articulacion!P:P,$V37),0))</f>
        <v>0</v>
      </c>
      <c r="T37" s="41" cm="1">
        <f t="array" ref="T37">IF($V37="","",IFERROR(INDEX(Articulacion!Q:Q,$V37),0))</f>
        <v>0</v>
      </c>
      <c r="U37" s="48">
        <f t="shared" si="3"/>
        <v>3</v>
      </c>
      <c r="V37" s="49">
        <v>13</v>
      </c>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6">
        <f t="shared" si="1"/>
        <v>0</v>
      </c>
      <c r="AY37" s="42">
        <f t="shared" si="2"/>
        <v>0</v>
      </c>
    </row>
    <row r="38" spans="1:51" x14ac:dyDescent="0.25">
      <c r="A38" s="38">
        <v>8</v>
      </c>
      <c r="B38" s="39" t="s">
        <v>66</v>
      </c>
      <c r="C38" s="40" t="s">
        <v>68</v>
      </c>
      <c r="D38" s="40" t="s">
        <v>55</v>
      </c>
      <c r="E38" s="40" t="s">
        <v>55</v>
      </c>
      <c r="F38" s="40" t="s">
        <v>55</v>
      </c>
      <c r="G38" s="38">
        <v>2</v>
      </c>
      <c r="H38" s="40">
        <v>36974.79</v>
      </c>
      <c r="I38" s="40">
        <v>0</v>
      </c>
      <c r="J38" s="41" cm="1">
        <f t="array" ref="J38">IF($V38="","",IFERROR(INDEX(Articulacion!G:G,$V38),0))</f>
        <v>1</v>
      </c>
      <c r="K38" s="41" cm="1">
        <f t="array" ref="K38">IF($V38="","",IFERROR(INDEX(Articulacion!H:H,$V38),0))</f>
        <v>0</v>
      </c>
      <c r="L38" s="41" cm="1">
        <f t="array" ref="L38">IF($V38="","",IFERROR(INDEX(Articulacion!I:I,$V38),0))</f>
        <v>1</v>
      </c>
      <c r="M38" s="41" cm="1">
        <f t="array" ref="M38">IF($V38="","",IFERROR(INDEX(Articulacion!J:J,$V38),0))</f>
        <v>0</v>
      </c>
      <c r="N38" s="41" cm="1">
        <f t="array" ref="N38">IF($V38="","",IFERROR(INDEX(Articulacion!K:K,$V38),0))</f>
        <v>0</v>
      </c>
      <c r="O38" s="41" cm="1">
        <f t="array" ref="O38">IF($V38="","",IFERROR(INDEX(Articulacion!L:L,$V38),0))</f>
        <v>0</v>
      </c>
      <c r="P38" s="41" cm="1">
        <f t="array" ref="P38">IF($V38="","",IFERROR(INDEX(Articulacion!M:M,$V38),0))</f>
        <v>0</v>
      </c>
      <c r="Q38" s="41" cm="1">
        <f t="array" ref="Q38">IF($V38="","",IFERROR(INDEX(Articulacion!N:N,$V38),0))</f>
        <v>0</v>
      </c>
      <c r="R38" s="41" cm="1">
        <f t="array" ref="R38">IF($V38="","",IFERROR(INDEX(Articulacion!O:O,$V38),0))</f>
        <v>0</v>
      </c>
      <c r="S38" s="41" cm="1">
        <f t="array" ref="S38">IF($V38="","",IFERROR(INDEX(Articulacion!P:P,$V38),0))</f>
        <v>0</v>
      </c>
      <c r="T38" s="41" cm="1">
        <f t="array" ref="T38">IF($V38="","",IFERROR(INDEX(Articulacion!Q:Q,$V38),0))</f>
        <v>0</v>
      </c>
      <c r="U38" s="48">
        <f t="shared" si="3"/>
        <v>2</v>
      </c>
      <c r="V38" s="49">
        <v>14</v>
      </c>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6">
        <f t="shared" si="1"/>
        <v>0</v>
      </c>
      <c r="AY38" s="42">
        <f t="shared" si="2"/>
        <v>0</v>
      </c>
    </row>
    <row r="39" spans="1:51" x14ac:dyDescent="0.25">
      <c r="A39" s="38">
        <v>7</v>
      </c>
      <c r="B39" s="39" t="s">
        <v>66</v>
      </c>
      <c r="C39" s="40" t="s">
        <v>67</v>
      </c>
      <c r="D39" s="40" t="s">
        <v>55</v>
      </c>
      <c r="E39" s="40" t="s">
        <v>55</v>
      </c>
      <c r="F39" s="40" t="s">
        <v>55</v>
      </c>
      <c r="G39" s="38">
        <v>3</v>
      </c>
      <c r="H39" s="40">
        <v>35294.120000000003</v>
      </c>
      <c r="I39" s="40">
        <v>0</v>
      </c>
      <c r="J39" s="41" cm="1">
        <f t="array" ref="J39">IF($V39="","",IFERROR(INDEX(Articulacion!G:G,$V39),0))</f>
        <v>1</v>
      </c>
      <c r="K39" s="41" cm="1">
        <f t="array" ref="K39">IF($V39="","",IFERROR(INDEX(Articulacion!H:H,$V39),0))</f>
        <v>1</v>
      </c>
      <c r="L39" s="41" cm="1">
        <f t="array" ref="L39">IF($V39="","",IFERROR(INDEX(Articulacion!I:I,$V39),0))</f>
        <v>1</v>
      </c>
      <c r="M39" s="41" cm="1">
        <f t="array" ref="M39">IF($V39="","",IFERROR(INDEX(Articulacion!J:J,$V39),0))</f>
        <v>0</v>
      </c>
      <c r="N39" s="41" cm="1">
        <f t="array" ref="N39">IF($V39="","",IFERROR(INDEX(Articulacion!K:K,$V39),0))</f>
        <v>0</v>
      </c>
      <c r="O39" s="41" cm="1">
        <f t="array" ref="O39">IF($V39="","",IFERROR(INDEX(Articulacion!L:L,$V39),0))</f>
        <v>0</v>
      </c>
      <c r="P39" s="41" cm="1">
        <f t="array" ref="P39">IF($V39="","",IFERROR(INDEX(Articulacion!M:M,$V39),0))</f>
        <v>0</v>
      </c>
      <c r="Q39" s="41" cm="1">
        <f t="array" ref="Q39">IF($V39="","",IFERROR(INDEX(Articulacion!N:N,$V39),0))</f>
        <v>0</v>
      </c>
      <c r="R39" s="41" cm="1">
        <f t="array" ref="R39">IF($V39="","",IFERROR(INDEX(Articulacion!O:O,$V39),0))</f>
        <v>0</v>
      </c>
      <c r="S39" s="41" cm="1">
        <f t="array" ref="S39">IF($V39="","",IFERROR(INDEX(Articulacion!P:P,$V39),0))</f>
        <v>0</v>
      </c>
      <c r="T39" s="41" cm="1">
        <f t="array" ref="T39">IF($V39="","",IFERROR(INDEX(Articulacion!Q:Q,$V39),0))</f>
        <v>0</v>
      </c>
      <c r="U39" s="48">
        <f t="shared" si="3"/>
        <v>3</v>
      </c>
      <c r="V39" s="49">
        <v>15</v>
      </c>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6">
        <f t="shared" si="1"/>
        <v>0</v>
      </c>
      <c r="AY39" s="42">
        <f t="shared" si="2"/>
        <v>0</v>
      </c>
    </row>
    <row r="40" spans="1:51" x14ac:dyDescent="0.25">
      <c r="A40" s="38">
        <v>6</v>
      </c>
      <c r="B40" s="39" t="s">
        <v>64</v>
      </c>
      <c r="C40" s="40" t="s">
        <v>65</v>
      </c>
      <c r="D40" s="40" t="s">
        <v>55</v>
      </c>
      <c r="E40" s="40" t="s">
        <v>55</v>
      </c>
      <c r="F40" s="40" t="s">
        <v>55</v>
      </c>
      <c r="G40" s="38">
        <v>7</v>
      </c>
      <c r="H40" s="40">
        <v>10084.030000000001</v>
      </c>
      <c r="I40" s="40">
        <v>0</v>
      </c>
      <c r="J40" s="41" cm="1">
        <f t="array" ref="J40">IF($V40="","",IFERROR(INDEX(Articulacion!G:G,$V40),0))</f>
        <v>1</v>
      </c>
      <c r="K40" s="41" cm="1">
        <f t="array" ref="K40">IF($V40="","",IFERROR(INDEX(Articulacion!H:H,$V40),0))</f>
        <v>1</v>
      </c>
      <c r="L40" s="41" cm="1">
        <f t="array" ref="L40">IF($V40="","",IFERROR(INDEX(Articulacion!I:I,$V40),0))</f>
        <v>1</v>
      </c>
      <c r="M40" s="41" cm="1">
        <f t="array" ref="M40">IF($V40="","",IFERROR(INDEX(Articulacion!J:J,$V40),0))</f>
        <v>0</v>
      </c>
      <c r="N40" s="41" cm="1">
        <f t="array" ref="N40">IF($V40="","",IFERROR(INDEX(Articulacion!K:K,$V40),0))</f>
        <v>0</v>
      </c>
      <c r="O40" s="41" cm="1">
        <f t="array" ref="O40">IF($V40="","",IFERROR(INDEX(Articulacion!L:L,$V40),0))</f>
        <v>0</v>
      </c>
      <c r="P40" s="41" cm="1">
        <f t="array" ref="P40">IF($V40="","",IFERROR(INDEX(Articulacion!M:M,$V40),0))</f>
        <v>4</v>
      </c>
      <c r="Q40" s="41" cm="1">
        <f t="array" ref="Q40">IF($V40="","",IFERROR(INDEX(Articulacion!N:N,$V40),0))</f>
        <v>0</v>
      </c>
      <c r="R40" s="41" cm="1">
        <f t="array" ref="R40">IF($V40="","",IFERROR(INDEX(Articulacion!O:O,$V40),0))</f>
        <v>0</v>
      </c>
      <c r="S40" s="41" cm="1">
        <f t="array" ref="S40">IF($V40="","",IFERROR(INDEX(Articulacion!P:P,$V40),0))</f>
        <v>0</v>
      </c>
      <c r="T40" s="41" cm="1">
        <f t="array" ref="T40">IF($V40="","",IFERROR(INDEX(Articulacion!Q:Q,$V40),0))</f>
        <v>0</v>
      </c>
      <c r="U40" s="48">
        <f t="shared" si="3"/>
        <v>7</v>
      </c>
      <c r="V40" s="49">
        <v>16</v>
      </c>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6">
        <f t="shared" si="1"/>
        <v>0</v>
      </c>
      <c r="AY40" s="42">
        <f t="shared" si="2"/>
        <v>0</v>
      </c>
    </row>
    <row r="41" spans="1:51" x14ac:dyDescent="0.25">
      <c r="A41" s="38">
        <v>10</v>
      </c>
      <c r="B41" s="39" t="s">
        <v>71</v>
      </c>
      <c r="C41" s="40" t="s">
        <v>72</v>
      </c>
      <c r="D41" s="40" t="s">
        <v>55</v>
      </c>
      <c r="E41" s="40" t="s">
        <v>55</v>
      </c>
      <c r="F41" s="40" t="s">
        <v>55</v>
      </c>
      <c r="G41" s="38">
        <v>1</v>
      </c>
      <c r="H41" s="40">
        <v>151260.5</v>
      </c>
      <c r="I41" s="40">
        <v>0</v>
      </c>
      <c r="J41" s="41" cm="1">
        <f t="array" ref="J41">IF($V41="","",IFERROR(INDEX(Articulacion!G:G,$V41),0))</f>
        <v>0</v>
      </c>
      <c r="K41" s="41" cm="1">
        <f t="array" ref="K41">IF($V41="","",IFERROR(INDEX(Articulacion!H:H,$V41),0))</f>
        <v>0</v>
      </c>
      <c r="L41" s="41" cm="1">
        <f t="array" ref="L41">IF($V41="","",IFERROR(INDEX(Articulacion!I:I,$V41),0))</f>
        <v>0</v>
      </c>
      <c r="M41" s="41" cm="1">
        <f t="array" ref="M41">IF($V41="","",IFERROR(INDEX(Articulacion!J:J,$V41),0))</f>
        <v>0</v>
      </c>
      <c r="N41" s="41" cm="1">
        <f t="array" ref="N41">IF($V41="","",IFERROR(INDEX(Articulacion!K:K,$V41),0))</f>
        <v>1</v>
      </c>
      <c r="O41" s="41" cm="1">
        <f t="array" ref="O41">IF($V41="","",IFERROR(INDEX(Articulacion!L:L,$V41),0))</f>
        <v>0</v>
      </c>
      <c r="P41" s="41" cm="1">
        <f t="array" ref="P41">IF($V41="","",IFERROR(INDEX(Articulacion!M:M,$V41),0))</f>
        <v>0</v>
      </c>
      <c r="Q41" s="41" cm="1">
        <f t="array" ref="Q41">IF($V41="","",IFERROR(INDEX(Articulacion!N:N,$V41),0))</f>
        <v>0</v>
      </c>
      <c r="R41" s="41" cm="1">
        <f t="array" ref="R41">IF($V41="","",IFERROR(INDEX(Articulacion!O:O,$V41),0))</f>
        <v>0</v>
      </c>
      <c r="S41" s="41" cm="1">
        <f t="array" ref="S41">IF($V41="","",IFERROR(INDEX(Articulacion!P:P,$V41),0))</f>
        <v>0</v>
      </c>
      <c r="T41" s="41" cm="1">
        <f t="array" ref="T41">IF($V41="","",IFERROR(INDEX(Articulacion!Q:Q,$V41),0))</f>
        <v>0</v>
      </c>
      <c r="U41" s="48">
        <f t="shared" si="3"/>
        <v>1</v>
      </c>
      <c r="V41" s="49">
        <v>12</v>
      </c>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6">
        <f t="shared" si="1"/>
        <v>0</v>
      </c>
      <c r="AY41" s="42">
        <f t="shared" si="2"/>
        <v>0</v>
      </c>
    </row>
    <row r="42" spans="1:51" x14ac:dyDescent="0.25">
      <c r="A42" s="38">
        <v>90</v>
      </c>
      <c r="B42" s="39" t="s">
        <v>224</v>
      </c>
      <c r="C42" s="40" t="s">
        <v>225</v>
      </c>
      <c r="D42" s="40" t="s">
        <v>55</v>
      </c>
      <c r="E42" s="40" t="s">
        <v>55</v>
      </c>
      <c r="F42" s="40" t="s">
        <v>55</v>
      </c>
      <c r="G42" s="38">
        <v>22</v>
      </c>
      <c r="H42" s="40">
        <v>3781.51</v>
      </c>
      <c r="I42" s="40">
        <v>0</v>
      </c>
      <c r="J42" s="41" t="str" cm="1">
        <f t="array" ref="J42">IF($V42="","",IFERROR(INDEX(Articulacion!G:G,$V42),0))</f>
        <v/>
      </c>
      <c r="K42" s="41" t="str" cm="1">
        <f t="array" ref="K42">IF($V42="","",IFERROR(INDEX(Articulacion!H:H,$V42),0))</f>
        <v/>
      </c>
      <c r="L42" s="41" t="str" cm="1">
        <f t="array" ref="L42">IF($V42="","",IFERROR(INDEX(Articulacion!I:I,$V42),0))</f>
        <v/>
      </c>
      <c r="M42" s="41" t="str" cm="1">
        <f t="array" ref="M42">IF($V42="","",IFERROR(INDEX(Articulacion!J:J,$V42),0))</f>
        <v/>
      </c>
      <c r="N42" s="41" t="str" cm="1">
        <f t="array" ref="N42">IF($V42="","",IFERROR(INDEX(Articulacion!K:K,$V42),0))</f>
        <v/>
      </c>
      <c r="O42" s="41" t="str" cm="1">
        <f t="array" ref="O42">IF($V42="","",IFERROR(INDEX(Articulacion!L:L,$V42),0))</f>
        <v/>
      </c>
      <c r="P42" s="41" t="str" cm="1">
        <f t="array" ref="P42">IF($V42="","",IFERROR(INDEX(Articulacion!M:M,$V42),0))</f>
        <v/>
      </c>
      <c r="Q42" s="41" t="str" cm="1">
        <f t="array" ref="Q42">IF($V42="","",IFERROR(INDEX(Articulacion!N:N,$V42),0))</f>
        <v/>
      </c>
      <c r="R42" s="41" t="str" cm="1">
        <f t="array" ref="R42">IF($V42="","",IFERROR(INDEX(Articulacion!O:O,$V42),0))</f>
        <v/>
      </c>
      <c r="S42" s="41" t="str" cm="1">
        <f t="array" ref="S42">IF($V42="","",IFERROR(INDEX(Articulacion!P:P,$V42),0))</f>
        <v/>
      </c>
      <c r="T42" s="41" t="str" cm="1">
        <f t="array" ref="T42">IF($V42="","",IFERROR(INDEX(Articulacion!Q:Q,$V42),0))</f>
        <v/>
      </c>
      <c r="U42" s="48">
        <f t="shared" si="3"/>
        <v>0</v>
      </c>
      <c r="V42" s="49"/>
      <c r="W42" s="40">
        <v>1</v>
      </c>
      <c r="X42" s="40">
        <v>1</v>
      </c>
      <c r="Y42" s="40">
        <v>1</v>
      </c>
      <c r="Z42" s="40">
        <v>1</v>
      </c>
      <c r="AA42" s="40">
        <v>1</v>
      </c>
      <c r="AB42" s="40">
        <v>1</v>
      </c>
      <c r="AC42" s="40">
        <v>1</v>
      </c>
      <c r="AD42" s="40">
        <v>1</v>
      </c>
      <c r="AE42" s="40">
        <v>1</v>
      </c>
      <c r="AF42" s="40">
        <v>1</v>
      </c>
      <c r="AG42" s="40">
        <v>1</v>
      </c>
      <c r="AH42" s="40">
        <v>1</v>
      </c>
      <c r="AI42" s="40">
        <v>1</v>
      </c>
      <c r="AJ42" s="40">
        <v>1</v>
      </c>
      <c r="AK42" s="40">
        <v>1</v>
      </c>
      <c r="AL42" s="40">
        <v>1</v>
      </c>
      <c r="AM42" s="40">
        <v>1</v>
      </c>
      <c r="AN42" s="40">
        <v>2</v>
      </c>
      <c r="AO42" s="40">
        <v>1</v>
      </c>
      <c r="AP42" s="40">
        <v>1</v>
      </c>
      <c r="AQ42" s="40">
        <v>1</v>
      </c>
      <c r="AR42" s="40"/>
      <c r="AS42" s="40"/>
      <c r="AT42" s="40"/>
      <c r="AU42" s="40"/>
      <c r="AV42" s="40"/>
      <c r="AW42" s="40"/>
      <c r="AX42" s="46">
        <f t="shared" si="1"/>
        <v>22</v>
      </c>
      <c r="AY42" s="42">
        <f t="shared" si="2"/>
        <v>0</v>
      </c>
    </row>
    <row r="43" spans="1:51" x14ac:dyDescent="0.25">
      <c r="A43" s="38">
        <v>18</v>
      </c>
      <c r="B43" s="39" t="s">
        <v>87</v>
      </c>
      <c r="C43" s="40" t="s">
        <v>88</v>
      </c>
      <c r="D43" s="40" t="s">
        <v>55</v>
      </c>
      <c r="E43" s="40" t="s">
        <v>55</v>
      </c>
      <c r="F43" s="40" t="s">
        <v>55</v>
      </c>
      <c r="G43" s="38">
        <v>5</v>
      </c>
      <c r="H43" s="40">
        <v>21008.400000000001</v>
      </c>
      <c r="I43" s="40">
        <v>0</v>
      </c>
      <c r="J43" s="41" t="str" cm="1">
        <f t="array" ref="J43">IF($V43="","",IFERROR(INDEX(Articulacion!G:G,$V43),0))</f>
        <v/>
      </c>
      <c r="K43" s="41" t="str" cm="1">
        <f t="array" ref="K43">IF($V43="","",IFERROR(INDEX(Articulacion!H:H,$V43),0))</f>
        <v/>
      </c>
      <c r="L43" s="41" t="str" cm="1">
        <f t="array" ref="L43">IF($V43="","",IFERROR(INDEX(Articulacion!I:I,$V43),0))</f>
        <v/>
      </c>
      <c r="M43" s="41" t="str" cm="1">
        <f t="array" ref="M43">IF($V43="","",IFERROR(INDEX(Articulacion!J:J,$V43),0))</f>
        <v/>
      </c>
      <c r="N43" s="41" t="str" cm="1">
        <f t="array" ref="N43">IF($V43="","",IFERROR(INDEX(Articulacion!K:K,$V43),0))</f>
        <v/>
      </c>
      <c r="O43" s="41" t="str" cm="1">
        <f t="array" ref="O43">IF($V43="","",IFERROR(INDEX(Articulacion!L:L,$V43),0))</f>
        <v/>
      </c>
      <c r="P43" s="41" t="str" cm="1">
        <f t="array" ref="P43">IF($V43="","",IFERROR(INDEX(Articulacion!M:M,$V43),0))</f>
        <v/>
      </c>
      <c r="Q43" s="41" t="str" cm="1">
        <f t="array" ref="Q43">IF($V43="","",IFERROR(INDEX(Articulacion!N:N,$V43),0))</f>
        <v/>
      </c>
      <c r="R43" s="41" t="str" cm="1">
        <f t="array" ref="R43">IF($V43="","",IFERROR(INDEX(Articulacion!O:O,$V43),0))</f>
        <v/>
      </c>
      <c r="S43" s="41" t="str" cm="1">
        <f t="array" ref="S43">IF($V43="","",IFERROR(INDEX(Articulacion!P:P,$V43),0))</f>
        <v/>
      </c>
      <c r="T43" s="41" t="str" cm="1">
        <f t="array" ref="T43">IF($V43="","",IFERROR(INDEX(Articulacion!Q:Q,$V43),0))</f>
        <v/>
      </c>
      <c r="U43" s="48">
        <f t="shared" si="3"/>
        <v>0</v>
      </c>
      <c r="V43" s="49"/>
      <c r="W43" s="41"/>
      <c r="X43" s="41"/>
      <c r="Y43" s="41"/>
      <c r="Z43" s="41"/>
      <c r="AA43" s="41"/>
      <c r="AB43" s="41"/>
      <c r="AC43" s="41"/>
      <c r="AD43" s="41"/>
      <c r="AE43" s="41"/>
      <c r="AF43" s="41"/>
      <c r="AG43" s="41"/>
      <c r="AH43" s="41"/>
      <c r="AI43" s="41"/>
      <c r="AJ43" s="41"/>
      <c r="AK43" s="41"/>
      <c r="AL43" s="41"/>
      <c r="AM43" s="41"/>
      <c r="AN43" s="41"/>
      <c r="AO43" s="41"/>
      <c r="AP43" s="41"/>
      <c r="AQ43" s="41">
        <v>3</v>
      </c>
      <c r="AR43" s="41">
        <v>2</v>
      </c>
      <c r="AS43" s="41"/>
      <c r="AT43" s="41"/>
      <c r="AU43" s="41"/>
      <c r="AV43" s="41"/>
      <c r="AW43" s="41"/>
      <c r="AX43" s="46">
        <f t="shared" si="1"/>
        <v>5</v>
      </c>
      <c r="AY43" s="42">
        <f t="shared" si="2"/>
        <v>0</v>
      </c>
    </row>
    <row r="44" spans="1:51" x14ac:dyDescent="0.25">
      <c r="A44" s="38">
        <v>61</v>
      </c>
      <c r="B44" s="39" t="s">
        <v>169</v>
      </c>
      <c r="C44" s="40" t="s">
        <v>170</v>
      </c>
      <c r="D44" s="40" t="s">
        <v>55</v>
      </c>
      <c r="E44" s="40" t="s">
        <v>55</v>
      </c>
      <c r="F44" s="40" t="s">
        <v>55</v>
      </c>
      <c r="G44" s="38">
        <v>7</v>
      </c>
      <c r="H44" s="40">
        <v>5882.35</v>
      </c>
      <c r="I44" s="40">
        <v>0</v>
      </c>
      <c r="J44" s="41" t="str" cm="1">
        <f t="array" ref="J44">IF($V44="","",IFERROR(INDEX(Articulacion!G:G,$V44),0))</f>
        <v/>
      </c>
      <c r="K44" s="41" t="str" cm="1">
        <f t="array" ref="K44">IF($V44="","",IFERROR(INDEX(Articulacion!H:H,$V44),0))</f>
        <v/>
      </c>
      <c r="L44" s="41" t="str" cm="1">
        <f t="array" ref="L44">IF($V44="","",IFERROR(INDEX(Articulacion!I:I,$V44),0))</f>
        <v/>
      </c>
      <c r="M44" s="41" t="str" cm="1">
        <f t="array" ref="M44">IF($V44="","",IFERROR(INDEX(Articulacion!J:J,$V44),0))</f>
        <v/>
      </c>
      <c r="N44" s="41" t="str" cm="1">
        <f t="array" ref="N44">IF($V44="","",IFERROR(INDEX(Articulacion!K:K,$V44),0))</f>
        <v/>
      </c>
      <c r="O44" s="41" t="str" cm="1">
        <f t="array" ref="O44">IF($V44="","",IFERROR(INDEX(Articulacion!L:L,$V44),0))</f>
        <v/>
      </c>
      <c r="P44" s="41" t="str" cm="1">
        <f t="array" ref="P44">IF($V44="","",IFERROR(INDEX(Articulacion!M:M,$V44),0))</f>
        <v/>
      </c>
      <c r="Q44" s="41" t="str" cm="1">
        <f t="array" ref="Q44">IF($V44="","",IFERROR(INDEX(Articulacion!N:N,$V44),0))</f>
        <v/>
      </c>
      <c r="R44" s="41" t="str" cm="1">
        <f t="array" ref="R44">IF($V44="","",IFERROR(INDEX(Articulacion!O:O,$V44),0))</f>
        <v/>
      </c>
      <c r="S44" s="41" t="str" cm="1">
        <f t="array" ref="S44">IF($V44="","",IFERROR(INDEX(Articulacion!P:P,$V44),0))</f>
        <v/>
      </c>
      <c r="T44" s="41" t="str" cm="1">
        <f t="array" ref="T44">IF($V44="","",IFERROR(INDEX(Articulacion!Q:Q,$V44),0))</f>
        <v/>
      </c>
      <c r="U44" s="48">
        <f t="shared" si="3"/>
        <v>0</v>
      </c>
      <c r="V44" s="49"/>
      <c r="W44" s="40"/>
      <c r="X44" s="40"/>
      <c r="Y44" s="40"/>
      <c r="Z44" s="40"/>
      <c r="AA44" s="40"/>
      <c r="AB44" s="40"/>
      <c r="AC44" s="40"/>
      <c r="AD44" s="40"/>
      <c r="AE44" s="40"/>
      <c r="AF44" s="40"/>
      <c r="AG44" s="40">
        <v>1</v>
      </c>
      <c r="AH44" s="40">
        <v>1</v>
      </c>
      <c r="AI44" s="40">
        <v>1</v>
      </c>
      <c r="AJ44" s="40">
        <v>1</v>
      </c>
      <c r="AK44" s="40">
        <v>1</v>
      </c>
      <c r="AL44" s="40">
        <v>1</v>
      </c>
      <c r="AM44" s="40">
        <v>1</v>
      </c>
      <c r="AN44" s="40"/>
      <c r="AO44" s="40"/>
      <c r="AP44" s="40"/>
      <c r="AQ44" s="40"/>
      <c r="AR44" s="40"/>
      <c r="AS44" s="40"/>
      <c r="AT44" s="40"/>
      <c r="AU44" s="40"/>
      <c r="AV44" s="40"/>
      <c r="AW44" s="40"/>
      <c r="AX44" s="46">
        <f t="shared" si="1"/>
        <v>7</v>
      </c>
      <c r="AY44" s="42">
        <f t="shared" si="2"/>
        <v>0</v>
      </c>
    </row>
    <row r="45" spans="1:51" x14ac:dyDescent="0.25">
      <c r="A45" s="38">
        <v>59</v>
      </c>
      <c r="B45" s="39" t="s">
        <v>165</v>
      </c>
      <c r="C45" s="40" t="s">
        <v>166</v>
      </c>
      <c r="D45" s="40" t="s">
        <v>55</v>
      </c>
      <c r="E45" s="40" t="s">
        <v>55</v>
      </c>
      <c r="F45" s="40" t="s">
        <v>55</v>
      </c>
      <c r="G45" s="38">
        <v>1</v>
      </c>
      <c r="H45" s="40">
        <v>117647.06</v>
      </c>
      <c r="I45" s="40">
        <v>0</v>
      </c>
      <c r="J45" s="41" t="str" cm="1">
        <f t="array" ref="J45">IF($V45="","",IFERROR(INDEX(Articulacion!G:G,$V45),0))</f>
        <v/>
      </c>
      <c r="K45" s="41" t="str" cm="1">
        <f t="array" ref="K45">IF($V45="","",IFERROR(INDEX(Articulacion!H:H,$V45),0))</f>
        <v/>
      </c>
      <c r="L45" s="41" t="str" cm="1">
        <f t="array" ref="L45">IF($V45="","",IFERROR(INDEX(Articulacion!I:I,$V45),0))</f>
        <v/>
      </c>
      <c r="M45" s="41" t="str" cm="1">
        <f t="array" ref="M45">IF($V45="","",IFERROR(INDEX(Articulacion!J:J,$V45),0))</f>
        <v/>
      </c>
      <c r="N45" s="41" t="str" cm="1">
        <f t="array" ref="N45">IF($V45="","",IFERROR(INDEX(Articulacion!K:K,$V45),0))</f>
        <v/>
      </c>
      <c r="O45" s="41" t="str" cm="1">
        <f t="array" ref="O45">IF($V45="","",IFERROR(INDEX(Articulacion!L:L,$V45),0))</f>
        <v/>
      </c>
      <c r="P45" s="41" t="str" cm="1">
        <f t="array" ref="P45">IF($V45="","",IFERROR(INDEX(Articulacion!M:M,$V45),0))</f>
        <v/>
      </c>
      <c r="Q45" s="41" t="str" cm="1">
        <f t="array" ref="Q45">IF($V45="","",IFERROR(INDEX(Articulacion!N:N,$V45),0))</f>
        <v/>
      </c>
      <c r="R45" s="41" t="str" cm="1">
        <f t="array" ref="R45">IF($V45="","",IFERROR(INDEX(Articulacion!O:O,$V45),0))</f>
        <v/>
      </c>
      <c r="S45" s="41" t="str" cm="1">
        <f t="array" ref="S45">IF($V45="","",IFERROR(INDEX(Articulacion!P:P,$V45),0))</f>
        <v/>
      </c>
      <c r="T45" s="41" t="str" cm="1">
        <f t="array" ref="T45">IF($V45="","",IFERROR(INDEX(Articulacion!Q:Q,$V45),0))</f>
        <v/>
      </c>
      <c r="U45" s="48">
        <f t="shared" si="3"/>
        <v>0</v>
      </c>
      <c r="V45" s="49"/>
      <c r="W45" s="40"/>
      <c r="X45" s="40"/>
      <c r="Y45" s="40"/>
      <c r="Z45" s="40"/>
      <c r="AA45" s="40"/>
      <c r="AB45" s="40"/>
      <c r="AC45" s="40"/>
      <c r="AD45" s="40"/>
      <c r="AE45" s="40"/>
      <c r="AF45" s="40"/>
      <c r="AG45" s="40"/>
      <c r="AH45" s="40"/>
      <c r="AI45" s="40"/>
      <c r="AJ45" s="40"/>
      <c r="AK45" s="40"/>
      <c r="AL45" s="40"/>
      <c r="AM45" s="40"/>
      <c r="AN45" s="40"/>
      <c r="AO45" s="40"/>
      <c r="AP45" s="40"/>
      <c r="AQ45" s="40">
        <v>1</v>
      </c>
      <c r="AR45" s="40"/>
      <c r="AS45" s="40"/>
      <c r="AT45" s="40"/>
      <c r="AU45" s="40"/>
      <c r="AV45" s="40"/>
      <c r="AW45" s="40"/>
      <c r="AX45" s="46">
        <f t="shared" si="1"/>
        <v>1</v>
      </c>
      <c r="AY45" s="42">
        <f t="shared" si="2"/>
        <v>0</v>
      </c>
    </row>
    <row r="46" spans="1:51" x14ac:dyDescent="0.25">
      <c r="A46" s="38">
        <v>4</v>
      </c>
      <c r="B46" s="39" t="s">
        <v>60</v>
      </c>
      <c r="C46" s="40" t="s">
        <v>61</v>
      </c>
      <c r="D46" s="40" t="s">
        <v>55</v>
      </c>
      <c r="E46" s="40" t="s">
        <v>55</v>
      </c>
      <c r="F46" s="40" t="s">
        <v>55</v>
      </c>
      <c r="G46" s="38">
        <v>5</v>
      </c>
      <c r="H46" s="40">
        <v>142857.14000000001</v>
      </c>
      <c r="I46" s="40">
        <v>0</v>
      </c>
      <c r="J46" s="41" t="str" cm="1">
        <f t="array" ref="J46">IF($V46="","",IFERROR(INDEX(Articulacion!G:G,$V46),0))</f>
        <v/>
      </c>
      <c r="K46" s="41" t="str" cm="1">
        <f t="array" ref="K46">IF($V46="","",IFERROR(INDEX(Articulacion!H:H,$V46),0))</f>
        <v/>
      </c>
      <c r="L46" s="41" t="str" cm="1">
        <f t="array" ref="L46">IF($V46="","",IFERROR(INDEX(Articulacion!I:I,$V46),0))</f>
        <v/>
      </c>
      <c r="M46" s="41" t="str" cm="1">
        <f t="array" ref="M46">IF($V46="","",IFERROR(INDEX(Articulacion!J:J,$V46),0))</f>
        <v/>
      </c>
      <c r="N46" s="41" t="str" cm="1">
        <f t="array" ref="N46">IF($V46="","",IFERROR(INDEX(Articulacion!K:K,$V46),0))</f>
        <v/>
      </c>
      <c r="O46" s="41" t="str" cm="1">
        <f t="array" ref="O46">IF($V46="","",IFERROR(INDEX(Articulacion!L:L,$V46),0))</f>
        <v/>
      </c>
      <c r="P46" s="41" t="str" cm="1">
        <f t="array" ref="P46">IF($V46="","",IFERROR(INDEX(Articulacion!M:M,$V46),0))</f>
        <v/>
      </c>
      <c r="Q46" s="41" t="str" cm="1">
        <f t="array" ref="Q46">IF($V46="","",IFERROR(INDEX(Articulacion!N:N,$V46),0))</f>
        <v/>
      </c>
      <c r="R46" s="41" t="str" cm="1">
        <f t="array" ref="R46">IF($V46="","",IFERROR(INDEX(Articulacion!O:O,$V46),0))</f>
        <v/>
      </c>
      <c r="S46" s="41" t="str" cm="1">
        <f t="array" ref="S46">IF($V46="","",IFERROR(INDEX(Articulacion!P:P,$V46),0))</f>
        <v/>
      </c>
      <c r="T46" s="41" t="str" cm="1">
        <f t="array" ref="T46">IF($V46="","",IFERROR(INDEX(Articulacion!Q:Q,$V46),0))</f>
        <v/>
      </c>
      <c r="U46" s="48">
        <f t="shared" si="3"/>
        <v>0</v>
      </c>
      <c r="V46" s="49"/>
      <c r="W46" s="40"/>
      <c r="X46" s="40"/>
      <c r="Y46" s="40">
        <v>1</v>
      </c>
      <c r="Z46" s="40">
        <v>1</v>
      </c>
      <c r="AA46" s="40">
        <v>1</v>
      </c>
      <c r="AB46" s="40">
        <v>1</v>
      </c>
      <c r="AC46" s="40">
        <v>1</v>
      </c>
      <c r="AD46" s="40"/>
      <c r="AE46" s="40"/>
      <c r="AF46" s="40"/>
      <c r="AG46" s="40"/>
      <c r="AH46" s="40"/>
      <c r="AI46" s="40"/>
      <c r="AJ46" s="40"/>
      <c r="AK46" s="40"/>
      <c r="AL46" s="40"/>
      <c r="AM46" s="40"/>
      <c r="AN46" s="40"/>
      <c r="AO46" s="40"/>
      <c r="AP46" s="40"/>
      <c r="AQ46" s="40"/>
      <c r="AR46" s="40"/>
      <c r="AS46" s="40"/>
      <c r="AT46" s="40"/>
      <c r="AU46" s="40"/>
      <c r="AV46" s="40"/>
      <c r="AW46" s="40"/>
      <c r="AX46" s="46">
        <f t="shared" si="1"/>
        <v>5</v>
      </c>
      <c r="AY46" s="42">
        <f t="shared" si="2"/>
        <v>0</v>
      </c>
    </row>
    <row r="47" spans="1:51" x14ac:dyDescent="0.25">
      <c r="A47" s="38">
        <v>2</v>
      </c>
      <c r="B47" s="39" t="s">
        <v>56</v>
      </c>
      <c r="C47" s="40" t="s">
        <v>57</v>
      </c>
      <c r="D47" s="40" t="s">
        <v>55</v>
      </c>
      <c r="E47" s="40" t="s">
        <v>55</v>
      </c>
      <c r="F47" s="40" t="s">
        <v>55</v>
      </c>
      <c r="G47" s="38">
        <v>3</v>
      </c>
      <c r="H47" s="40">
        <v>126050.42</v>
      </c>
      <c r="I47" s="40">
        <v>0</v>
      </c>
      <c r="J47" s="41" t="str" cm="1">
        <f t="array" ref="J47">IF($V47="","",IFERROR(INDEX(Articulacion!G:G,$V47),0))</f>
        <v/>
      </c>
      <c r="K47" s="41" t="str" cm="1">
        <f t="array" ref="K47">IF($V47="","",IFERROR(INDEX(Articulacion!H:H,$V47),0))</f>
        <v/>
      </c>
      <c r="L47" s="41" t="str" cm="1">
        <f t="array" ref="L47">IF($V47="","",IFERROR(INDEX(Articulacion!I:I,$V47),0))</f>
        <v/>
      </c>
      <c r="M47" s="41" t="str" cm="1">
        <f t="array" ref="M47">IF($V47="","",IFERROR(INDEX(Articulacion!J:J,$V47),0))</f>
        <v/>
      </c>
      <c r="N47" s="41" t="str" cm="1">
        <f t="array" ref="N47">IF($V47="","",IFERROR(INDEX(Articulacion!K:K,$V47),0))</f>
        <v/>
      </c>
      <c r="O47" s="41" t="str" cm="1">
        <f t="array" ref="O47">IF($V47="","",IFERROR(INDEX(Articulacion!L:L,$V47),0))</f>
        <v/>
      </c>
      <c r="P47" s="41" t="str" cm="1">
        <f t="array" ref="P47">IF($V47="","",IFERROR(INDEX(Articulacion!M:M,$V47),0))</f>
        <v/>
      </c>
      <c r="Q47" s="41" t="str" cm="1">
        <f t="array" ref="Q47">IF($V47="","",IFERROR(INDEX(Articulacion!N:N,$V47),0))</f>
        <v/>
      </c>
      <c r="R47" s="41" t="str" cm="1">
        <f t="array" ref="R47">IF($V47="","",IFERROR(INDEX(Articulacion!O:O,$V47),0))</f>
        <v/>
      </c>
      <c r="S47" s="41" t="str" cm="1">
        <f t="array" ref="S47">IF($V47="","",IFERROR(INDEX(Articulacion!P:P,$V47),0))</f>
        <v/>
      </c>
      <c r="T47" s="41" t="str" cm="1">
        <f t="array" ref="T47">IF($V47="","",IFERROR(INDEX(Articulacion!Q:Q,$V47),0))</f>
        <v/>
      </c>
      <c r="U47" s="48">
        <f t="shared" si="3"/>
        <v>0</v>
      </c>
      <c r="V47" s="49"/>
      <c r="W47" s="40"/>
      <c r="X47" s="40"/>
      <c r="Y47" s="40"/>
      <c r="Z47" s="40"/>
      <c r="AA47" s="40"/>
      <c r="AB47" s="40"/>
      <c r="AC47" s="40"/>
      <c r="AD47" s="40">
        <v>1</v>
      </c>
      <c r="AE47" s="40">
        <v>1</v>
      </c>
      <c r="AF47" s="40">
        <v>1</v>
      </c>
      <c r="AG47" s="40"/>
      <c r="AH47" s="40"/>
      <c r="AI47" s="40"/>
      <c r="AJ47" s="40"/>
      <c r="AK47" s="40"/>
      <c r="AL47" s="40"/>
      <c r="AM47" s="40"/>
      <c r="AN47" s="40"/>
      <c r="AO47" s="40"/>
      <c r="AP47" s="40"/>
      <c r="AQ47" s="40"/>
      <c r="AR47" s="40"/>
      <c r="AS47" s="40"/>
      <c r="AT47" s="40"/>
      <c r="AU47" s="40"/>
      <c r="AV47" s="40"/>
      <c r="AW47" s="41"/>
      <c r="AX47" s="46">
        <f t="shared" si="1"/>
        <v>3</v>
      </c>
      <c r="AY47" s="42">
        <f t="shared" si="2"/>
        <v>0</v>
      </c>
    </row>
    <row r="48" spans="1:51" x14ac:dyDescent="0.25">
      <c r="A48" s="38">
        <v>29</v>
      </c>
      <c r="B48" s="39" t="s">
        <v>107</v>
      </c>
      <c r="C48" s="40" t="s">
        <v>108</v>
      </c>
      <c r="D48" s="40" t="s">
        <v>55</v>
      </c>
      <c r="E48" s="40" t="s">
        <v>55</v>
      </c>
      <c r="F48" s="40" t="s">
        <v>55</v>
      </c>
      <c r="G48" s="38">
        <v>1</v>
      </c>
      <c r="H48" s="40">
        <v>109243.7</v>
      </c>
      <c r="I48" s="40">
        <v>0</v>
      </c>
      <c r="J48" s="41" t="str" cm="1">
        <f t="array" ref="J48">IF($V48="","",IFERROR(INDEX(Articulacion!G:G,$V48),0))</f>
        <v/>
      </c>
      <c r="K48" s="41" t="str" cm="1">
        <f t="array" ref="K48">IF($V48="","",IFERROR(INDEX(Articulacion!H:H,$V48),0))</f>
        <v/>
      </c>
      <c r="L48" s="41" t="str" cm="1">
        <f t="array" ref="L48">IF($V48="","",IFERROR(INDEX(Articulacion!I:I,$V48),0))</f>
        <v/>
      </c>
      <c r="M48" s="41" t="str" cm="1">
        <f t="array" ref="M48">IF($V48="","",IFERROR(INDEX(Articulacion!J:J,$V48),0))</f>
        <v/>
      </c>
      <c r="N48" s="41" t="str" cm="1">
        <f t="array" ref="N48">IF($V48="","",IFERROR(INDEX(Articulacion!K:K,$V48),0))</f>
        <v/>
      </c>
      <c r="O48" s="41" t="str" cm="1">
        <f t="array" ref="O48">IF($V48="","",IFERROR(INDEX(Articulacion!L:L,$V48),0))</f>
        <v/>
      </c>
      <c r="P48" s="41" t="str" cm="1">
        <f t="array" ref="P48">IF($V48="","",IFERROR(INDEX(Articulacion!M:M,$V48),0))</f>
        <v/>
      </c>
      <c r="Q48" s="41" t="str" cm="1">
        <f t="array" ref="Q48">IF($V48="","",IFERROR(INDEX(Articulacion!N:N,$V48),0))</f>
        <v/>
      </c>
      <c r="R48" s="41" t="str" cm="1">
        <f t="array" ref="R48">IF($V48="","",IFERROR(INDEX(Articulacion!O:O,$V48),0))</f>
        <v/>
      </c>
      <c r="S48" s="41" t="str" cm="1">
        <f t="array" ref="S48">IF($V48="","",IFERROR(INDEX(Articulacion!P:P,$V48),0))</f>
        <v/>
      </c>
      <c r="T48" s="41" t="str" cm="1">
        <f t="array" ref="T48">IF($V48="","",IFERROR(INDEX(Articulacion!Q:Q,$V48),0))</f>
        <v/>
      </c>
      <c r="U48" s="48">
        <f t="shared" si="3"/>
        <v>0</v>
      </c>
      <c r="V48" s="49"/>
      <c r="W48" s="40"/>
      <c r="X48" s="40"/>
      <c r="Y48" s="40"/>
      <c r="Z48" s="40"/>
      <c r="AA48" s="40"/>
      <c r="AB48" s="40"/>
      <c r="AC48" s="40"/>
      <c r="AD48" s="40"/>
      <c r="AE48" s="40"/>
      <c r="AF48" s="40"/>
      <c r="AG48" s="40"/>
      <c r="AH48" s="40"/>
      <c r="AI48" s="40"/>
      <c r="AJ48" s="40"/>
      <c r="AK48" s="40"/>
      <c r="AL48" s="40"/>
      <c r="AM48" s="40"/>
      <c r="AN48" s="40"/>
      <c r="AO48" s="40"/>
      <c r="AP48" s="40"/>
      <c r="AQ48" s="40"/>
      <c r="AR48" s="40"/>
      <c r="AS48" s="40">
        <v>1</v>
      </c>
      <c r="AT48" s="40"/>
      <c r="AU48" s="40"/>
      <c r="AV48" s="40"/>
      <c r="AW48" s="40"/>
      <c r="AX48" s="46">
        <f t="shared" si="1"/>
        <v>1</v>
      </c>
      <c r="AY48" s="42">
        <f t="shared" si="2"/>
        <v>0</v>
      </c>
    </row>
    <row r="49" spans="1:51" x14ac:dyDescent="0.25">
      <c r="A49" s="38">
        <v>15</v>
      </c>
      <c r="B49" s="39" t="s">
        <v>81</v>
      </c>
      <c r="C49" s="40" t="s">
        <v>82</v>
      </c>
      <c r="D49" s="40" t="s">
        <v>55</v>
      </c>
      <c r="E49" s="40" t="s">
        <v>55</v>
      </c>
      <c r="F49" s="40" t="s">
        <v>55</v>
      </c>
      <c r="G49" s="38">
        <v>5</v>
      </c>
      <c r="H49" s="40">
        <v>16806.72</v>
      </c>
      <c r="I49" s="40">
        <v>0</v>
      </c>
      <c r="J49" s="41" t="str" cm="1">
        <f t="array" ref="J49">IF($V49="","",IFERROR(INDEX(Articulacion!G:G,$V49),0))</f>
        <v/>
      </c>
      <c r="K49" s="41" t="str" cm="1">
        <f t="array" ref="K49">IF($V49="","",IFERROR(INDEX(Articulacion!H:H,$V49),0))</f>
        <v/>
      </c>
      <c r="L49" s="41" t="str" cm="1">
        <f t="array" ref="L49">IF($V49="","",IFERROR(INDEX(Articulacion!I:I,$V49),0))</f>
        <v/>
      </c>
      <c r="M49" s="41" t="str" cm="1">
        <f t="array" ref="M49">IF($V49="","",IFERROR(INDEX(Articulacion!J:J,$V49),0))</f>
        <v/>
      </c>
      <c r="N49" s="41" t="str" cm="1">
        <f t="array" ref="N49">IF($V49="","",IFERROR(INDEX(Articulacion!K:K,$V49),0))</f>
        <v/>
      </c>
      <c r="O49" s="41" t="str" cm="1">
        <f t="array" ref="O49">IF($V49="","",IFERROR(INDEX(Articulacion!L:L,$V49),0))</f>
        <v/>
      </c>
      <c r="P49" s="41" t="str" cm="1">
        <f t="array" ref="P49">IF($V49="","",IFERROR(INDEX(Articulacion!M:M,$V49),0))</f>
        <v/>
      </c>
      <c r="Q49" s="41" t="str" cm="1">
        <f t="array" ref="Q49">IF($V49="","",IFERROR(INDEX(Articulacion!N:N,$V49),0))</f>
        <v/>
      </c>
      <c r="R49" s="41" t="str" cm="1">
        <f t="array" ref="R49">IF($V49="","",IFERROR(INDEX(Articulacion!O:O,$V49),0))</f>
        <v/>
      </c>
      <c r="S49" s="41" t="str" cm="1">
        <f t="array" ref="S49">IF($V49="","",IFERROR(INDEX(Articulacion!P:P,$V49),0))</f>
        <v/>
      </c>
      <c r="T49" s="41" t="str" cm="1">
        <f t="array" ref="T49">IF($V49="","",IFERROR(INDEX(Articulacion!Q:Q,$V49),0))</f>
        <v/>
      </c>
      <c r="U49" s="48">
        <f t="shared" si="3"/>
        <v>0</v>
      </c>
      <c r="V49" s="49"/>
      <c r="W49" s="41"/>
      <c r="X49" s="41"/>
      <c r="Y49" s="41"/>
      <c r="Z49" s="41"/>
      <c r="AA49" s="41"/>
      <c r="AB49" s="41"/>
      <c r="AC49" s="41"/>
      <c r="AD49" s="41"/>
      <c r="AE49" s="41"/>
      <c r="AF49" s="41"/>
      <c r="AG49" s="41"/>
      <c r="AH49" s="41"/>
      <c r="AI49" s="41"/>
      <c r="AJ49" s="41"/>
      <c r="AK49" s="41"/>
      <c r="AL49" s="41"/>
      <c r="AM49" s="41"/>
      <c r="AN49" s="41"/>
      <c r="AO49" s="41"/>
      <c r="AP49" s="41"/>
      <c r="AQ49" s="41">
        <v>2</v>
      </c>
      <c r="AR49" s="41">
        <v>3</v>
      </c>
      <c r="AS49" s="41"/>
      <c r="AT49" s="41"/>
      <c r="AU49" s="41"/>
      <c r="AV49" s="41"/>
      <c r="AW49" s="41"/>
      <c r="AX49" s="46">
        <f t="shared" si="1"/>
        <v>5</v>
      </c>
      <c r="AY49" s="42">
        <f t="shared" si="2"/>
        <v>0</v>
      </c>
    </row>
    <row r="50" spans="1:51" x14ac:dyDescent="0.25">
      <c r="A50" s="38">
        <v>3</v>
      </c>
      <c r="B50" s="39" t="s">
        <v>58</v>
      </c>
      <c r="C50" s="40" t="s">
        <v>59</v>
      </c>
      <c r="D50" s="40" t="s">
        <v>55</v>
      </c>
      <c r="E50" s="40" t="s">
        <v>55</v>
      </c>
      <c r="F50" s="40" t="s">
        <v>55</v>
      </c>
      <c r="G50" s="38">
        <v>5</v>
      </c>
      <c r="H50" s="40">
        <v>12605.04</v>
      </c>
      <c r="I50" s="40">
        <v>0</v>
      </c>
      <c r="J50" s="41" cm="1">
        <f t="array" ref="J50">IF($V50="","",IFERROR(INDEX(Articulacion!G:G,$V50),0))</f>
        <v>1</v>
      </c>
      <c r="K50" s="41" cm="1">
        <f t="array" ref="K50">IF($V50="","",IFERROR(INDEX(Articulacion!H:H,$V50),0))</f>
        <v>1</v>
      </c>
      <c r="L50" s="41" cm="1">
        <f t="array" ref="L50">IF($V50="","",IFERROR(INDEX(Articulacion!I:I,$V50),0))</f>
        <v>0</v>
      </c>
      <c r="M50" s="41" cm="1">
        <f t="array" ref="M50">IF($V50="","",IFERROR(INDEX(Articulacion!J:J,$V50),0))</f>
        <v>1</v>
      </c>
      <c r="N50" s="41" cm="1">
        <f t="array" ref="N50">IF($V50="","",IFERROR(INDEX(Articulacion!K:K,$V50),0))</f>
        <v>1</v>
      </c>
      <c r="O50" s="41" cm="1">
        <f t="array" ref="O50">IF($V50="","",IFERROR(INDEX(Articulacion!L:L,$V50),0))</f>
        <v>0</v>
      </c>
      <c r="P50" s="41" cm="1">
        <f t="array" ref="P50">IF($V50="","",IFERROR(INDEX(Articulacion!M:M,$V50),0))</f>
        <v>1</v>
      </c>
      <c r="Q50" s="41" cm="1">
        <f t="array" ref="Q50">IF($V50="","",IFERROR(INDEX(Articulacion!N:N,$V50),0))</f>
        <v>0</v>
      </c>
      <c r="R50" s="41" cm="1">
        <f t="array" ref="R50">IF($V50="","",IFERROR(INDEX(Articulacion!O:O,$V50),0))</f>
        <v>0</v>
      </c>
      <c r="S50" s="41" cm="1">
        <f t="array" ref="S50">IF($V50="","",IFERROR(INDEX(Articulacion!P:P,$V50),0))</f>
        <v>0</v>
      </c>
      <c r="T50" s="41" cm="1">
        <f t="array" ref="T50">IF($V50="","",IFERROR(INDEX(Articulacion!Q:Q,$V50),0))</f>
        <v>0</v>
      </c>
      <c r="U50" s="48">
        <f t="shared" si="3"/>
        <v>5</v>
      </c>
      <c r="V50" s="49">
        <v>18</v>
      </c>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6">
        <f t="shared" si="1"/>
        <v>0</v>
      </c>
      <c r="AY50" s="42">
        <f t="shared" si="2"/>
        <v>0</v>
      </c>
    </row>
    <row r="51" spans="1:51" x14ac:dyDescent="0.25">
      <c r="A51" s="38">
        <v>65</v>
      </c>
      <c r="B51" s="39" t="s">
        <v>177</v>
      </c>
      <c r="C51" s="40" t="s">
        <v>178</v>
      </c>
      <c r="D51" s="40" t="s">
        <v>55</v>
      </c>
      <c r="E51" s="40" t="s">
        <v>55</v>
      </c>
      <c r="F51" s="40" t="s">
        <v>55</v>
      </c>
      <c r="G51" s="38">
        <v>15</v>
      </c>
      <c r="H51" s="40">
        <v>19327.73</v>
      </c>
      <c r="I51" s="40">
        <v>0</v>
      </c>
      <c r="J51" s="41" t="str" cm="1">
        <f t="array" ref="J51">IF($V51="","",IFERROR(INDEX(Articulacion!G:G,$V51),0))</f>
        <v/>
      </c>
      <c r="K51" s="41" t="str" cm="1">
        <f t="array" ref="K51">IF($V51="","",IFERROR(INDEX(Articulacion!H:H,$V51),0))</f>
        <v/>
      </c>
      <c r="L51" s="41" t="str" cm="1">
        <f t="array" ref="L51">IF($V51="","",IFERROR(INDEX(Articulacion!I:I,$V51),0))</f>
        <v/>
      </c>
      <c r="M51" s="41" t="str" cm="1">
        <f t="array" ref="M51">IF($V51="","",IFERROR(INDEX(Articulacion!J:J,$V51),0))</f>
        <v/>
      </c>
      <c r="N51" s="41" t="str" cm="1">
        <f t="array" ref="N51">IF($V51="","",IFERROR(INDEX(Articulacion!K:K,$V51),0))</f>
        <v/>
      </c>
      <c r="O51" s="41" t="str" cm="1">
        <f t="array" ref="O51">IF($V51="","",IFERROR(INDEX(Articulacion!L:L,$V51),0))</f>
        <v/>
      </c>
      <c r="P51" s="41" t="str" cm="1">
        <f t="array" ref="P51">IF($V51="","",IFERROR(INDEX(Articulacion!M:M,$V51),0))</f>
        <v/>
      </c>
      <c r="Q51" s="41" t="str" cm="1">
        <f t="array" ref="Q51">IF($V51="","",IFERROR(INDEX(Articulacion!N:N,$V51),0))</f>
        <v/>
      </c>
      <c r="R51" s="41" t="str" cm="1">
        <f t="array" ref="R51">IF($V51="","",IFERROR(INDEX(Articulacion!O:O,$V51),0))</f>
        <v/>
      </c>
      <c r="S51" s="41" t="str" cm="1">
        <f t="array" ref="S51">IF($V51="","",IFERROR(INDEX(Articulacion!P:P,$V51),0))</f>
        <v/>
      </c>
      <c r="T51" s="41" t="str" cm="1">
        <f t="array" ref="T51">IF($V51="","",IFERROR(INDEX(Articulacion!Q:Q,$V51),0))</f>
        <v/>
      </c>
      <c r="U51" s="48">
        <f t="shared" si="3"/>
        <v>0</v>
      </c>
      <c r="V51" s="49"/>
      <c r="W51" s="40"/>
      <c r="X51" s="40"/>
      <c r="Y51" s="40"/>
      <c r="Z51" s="40"/>
      <c r="AA51" s="40"/>
      <c r="AB51" s="40"/>
      <c r="AC51" s="40"/>
      <c r="AD51" s="40"/>
      <c r="AE51" s="40"/>
      <c r="AF51" s="40"/>
      <c r="AG51" s="40">
        <v>1</v>
      </c>
      <c r="AH51" s="40">
        <v>1</v>
      </c>
      <c r="AI51" s="40">
        <v>1</v>
      </c>
      <c r="AJ51" s="40">
        <v>1</v>
      </c>
      <c r="AK51" s="40">
        <v>1</v>
      </c>
      <c r="AL51" s="40">
        <v>1</v>
      </c>
      <c r="AM51" s="40">
        <v>1</v>
      </c>
      <c r="AN51" s="40">
        <v>2</v>
      </c>
      <c r="AO51" s="40">
        <v>1</v>
      </c>
      <c r="AP51" s="40">
        <v>1</v>
      </c>
      <c r="AQ51" s="40">
        <v>1</v>
      </c>
      <c r="AR51" s="40">
        <v>1</v>
      </c>
      <c r="AS51" s="40">
        <v>1</v>
      </c>
      <c r="AT51" s="40">
        <v>1</v>
      </c>
      <c r="AU51" s="40"/>
      <c r="AV51" s="40"/>
      <c r="AW51" s="40"/>
      <c r="AX51" s="46">
        <f t="shared" si="1"/>
        <v>15</v>
      </c>
      <c r="AY51" s="42">
        <f t="shared" si="2"/>
        <v>0</v>
      </c>
    </row>
    <row r="52" spans="1:51" x14ac:dyDescent="0.25">
      <c r="A52" s="38">
        <v>58</v>
      </c>
      <c r="B52" s="39" t="s">
        <v>163</v>
      </c>
      <c r="C52" s="40" t="s">
        <v>164</v>
      </c>
      <c r="D52" s="40" t="s">
        <v>55</v>
      </c>
      <c r="E52" s="40" t="s">
        <v>55</v>
      </c>
      <c r="F52" s="40" t="s">
        <v>55</v>
      </c>
      <c r="G52" s="38">
        <v>20</v>
      </c>
      <c r="H52" s="40">
        <v>1260.5</v>
      </c>
      <c r="I52" s="40">
        <v>0</v>
      </c>
      <c r="J52" s="41" t="str" cm="1">
        <f t="array" ref="J52">IF($V52="","",IFERROR(INDEX(Articulacion!G:G,$V52),0))</f>
        <v/>
      </c>
      <c r="K52" s="41" t="str" cm="1">
        <f t="array" ref="K52">IF($V52="","",IFERROR(INDEX(Articulacion!H:H,$V52),0))</f>
        <v/>
      </c>
      <c r="L52" s="41" t="str" cm="1">
        <f t="array" ref="L52">IF($V52="","",IFERROR(INDEX(Articulacion!I:I,$V52),0))</f>
        <v/>
      </c>
      <c r="M52" s="41" t="str" cm="1">
        <f t="array" ref="M52">IF($V52="","",IFERROR(INDEX(Articulacion!J:J,$V52),0))</f>
        <v/>
      </c>
      <c r="N52" s="41" t="str" cm="1">
        <f t="array" ref="N52">IF($V52="","",IFERROR(INDEX(Articulacion!K:K,$V52),0))</f>
        <v/>
      </c>
      <c r="O52" s="41" t="str" cm="1">
        <f t="array" ref="O52">IF($V52="","",IFERROR(INDEX(Articulacion!L:L,$V52),0))</f>
        <v/>
      </c>
      <c r="P52" s="41" t="str" cm="1">
        <f t="array" ref="P52">IF($V52="","",IFERROR(INDEX(Articulacion!M:M,$V52),0))</f>
        <v/>
      </c>
      <c r="Q52" s="41" t="str" cm="1">
        <f t="array" ref="Q52">IF($V52="","",IFERROR(INDEX(Articulacion!N:N,$V52),0))</f>
        <v/>
      </c>
      <c r="R52" s="41" t="str" cm="1">
        <f t="array" ref="R52">IF($V52="","",IFERROR(INDEX(Articulacion!O:O,$V52),0))</f>
        <v/>
      </c>
      <c r="S52" s="41" t="str" cm="1">
        <f t="array" ref="S52">IF($V52="","",IFERROR(INDEX(Articulacion!P:P,$V52),0))</f>
        <v/>
      </c>
      <c r="T52" s="41" t="str" cm="1">
        <f t="array" ref="T52">IF($V52="","",IFERROR(INDEX(Articulacion!Q:Q,$V52),0))</f>
        <v/>
      </c>
      <c r="U52" s="48">
        <f t="shared" si="3"/>
        <v>0</v>
      </c>
      <c r="V52" s="49"/>
      <c r="W52" s="40">
        <v>1</v>
      </c>
      <c r="X52" s="40">
        <v>1</v>
      </c>
      <c r="Y52" s="40">
        <v>1</v>
      </c>
      <c r="Z52" s="40">
        <v>1</v>
      </c>
      <c r="AA52" s="40">
        <v>1</v>
      </c>
      <c r="AB52" s="40">
        <v>1</v>
      </c>
      <c r="AC52" s="40">
        <v>1</v>
      </c>
      <c r="AD52" s="40">
        <v>1</v>
      </c>
      <c r="AE52" s="40">
        <v>1</v>
      </c>
      <c r="AF52" s="40">
        <v>1</v>
      </c>
      <c r="AG52" s="40">
        <v>1</v>
      </c>
      <c r="AH52" s="40">
        <v>1</v>
      </c>
      <c r="AI52" s="40">
        <v>1</v>
      </c>
      <c r="AJ52" s="40">
        <v>1</v>
      </c>
      <c r="AK52" s="40">
        <v>1</v>
      </c>
      <c r="AL52" s="40">
        <v>1</v>
      </c>
      <c r="AM52" s="40">
        <v>1</v>
      </c>
      <c r="AN52" s="40">
        <v>2</v>
      </c>
      <c r="AO52" s="40">
        <v>1</v>
      </c>
      <c r="AP52" s="40"/>
      <c r="AQ52" s="40"/>
      <c r="AR52" s="40"/>
      <c r="AS52" s="40"/>
      <c r="AT52" s="40"/>
      <c r="AU52" s="40"/>
      <c r="AV52" s="40"/>
      <c r="AW52" s="40"/>
      <c r="AX52" s="46">
        <f t="shared" si="1"/>
        <v>20</v>
      </c>
      <c r="AY52" s="42">
        <f t="shared" si="2"/>
        <v>0</v>
      </c>
    </row>
    <row r="53" spans="1:51" x14ac:dyDescent="0.25">
      <c r="A53" s="38">
        <v>5</v>
      </c>
      <c r="B53" s="39" t="s">
        <v>62</v>
      </c>
      <c r="C53" s="40" t="s">
        <v>63</v>
      </c>
      <c r="D53" s="40" t="s">
        <v>55</v>
      </c>
      <c r="E53" s="40" t="s">
        <v>55</v>
      </c>
      <c r="F53" s="40" t="s">
        <v>55</v>
      </c>
      <c r="G53" s="38">
        <v>4</v>
      </c>
      <c r="H53" s="40">
        <v>10924.37</v>
      </c>
      <c r="I53" s="40">
        <v>0</v>
      </c>
      <c r="J53" s="41" cm="1">
        <f t="array" ref="J53">IF($V53="","",IFERROR(INDEX(Articulacion!G:G,$V53),0))</f>
        <v>0</v>
      </c>
      <c r="K53" s="41" cm="1">
        <f t="array" ref="K53">IF($V53="","",IFERROR(INDEX(Articulacion!H:H,$V53),0))</f>
        <v>0</v>
      </c>
      <c r="L53" s="41" cm="1">
        <f t="array" ref="L53">IF($V53="","",IFERROR(INDEX(Articulacion!I:I,$V53),0))</f>
        <v>0</v>
      </c>
      <c r="M53" s="41" cm="1">
        <f t="array" ref="M53">IF($V53="","",IFERROR(INDEX(Articulacion!J:J,$V53),0))</f>
        <v>2</v>
      </c>
      <c r="N53" s="41" cm="1">
        <f t="array" ref="N53">IF($V53="","",IFERROR(INDEX(Articulacion!K:K,$V53),0))</f>
        <v>1</v>
      </c>
      <c r="O53" s="41" cm="1">
        <f t="array" ref="O53">IF($V53="","",IFERROR(INDEX(Articulacion!L:L,$V53),0))</f>
        <v>1</v>
      </c>
      <c r="P53" s="41" cm="1">
        <f t="array" ref="P53">IF($V53="","",IFERROR(INDEX(Articulacion!M:M,$V53),0))</f>
        <v>0</v>
      </c>
      <c r="Q53" s="41" cm="1">
        <f t="array" ref="Q53">IF($V53="","",IFERROR(INDEX(Articulacion!N:N,$V53),0))</f>
        <v>0</v>
      </c>
      <c r="R53" s="41" cm="1">
        <f t="array" ref="R53">IF($V53="","",IFERROR(INDEX(Articulacion!O:O,$V53),0))</f>
        <v>0</v>
      </c>
      <c r="S53" s="41" cm="1">
        <f t="array" ref="S53">IF($V53="","",IFERROR(INDEX(Articulacion!P:P,$V53),0))</f>
        <v>0</v>
      </c>
      <c r="T53" s="41" cm="1">
        <f t="array" ref="T53">IF($V53="","",IFERROR(INDEX(Articulacion!Q:Q,$V53),0))</f>
        <v>0</v>
      </c>
      <c r="U53" s="48">
        <f t="shared" si="3"/>
        <v>4</v>
      </c>
      <c r="V53" s="49">
        <v>17</v>
      </c>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6">
        <f t="shared" si="1"/>
        <v>0</v>
      </c>
      <c r="AY53" s="42">
        <f t="shared" si="2"/>
        <v>0</v>
      </c>
    </row>
    <row r="54" spans="1:51" x14ac:dyDescent="0.25">
      <c r="A54" s="38">
        <v>14</v>
      </c>
      <c r="B54" s="39" t="s">
        <v>79</v>
      </c>
      <c r="C54" s="40" t="s">
        <v>80</v>
      </c>
      <c r="D54" s="40" t="s">
        <v>55</v>
      </c>
      <c r="E54" s="40" t="s">
        <v>55</v>
      </c>
      <c r="F54" s="40" t="s">
        <v>55</v>
      </c>
      <c r="G54" s="38">
        <v>12</v>
      </c>
      <c r="H54" s="40">
        <v>37815.129999999997</v>
      </c>
      <c r="I54" s="40">
        <v>0</v>
      </c>
      <c r="J54" s="41" t="str" cm="1">
        <f t="array" ref="J54">IF($V54="","",IFERROR(INDEX(Articulacion!G:G,$V54),0))</f>
        <v/>
      </c>
      <c r="K54" s="41" t="str" cm="1">
        <f t="array" ref="K54">IF($V54="","",IFERROR(INDEX(Articulacion!H:H,$V54),0))</f>
        <v/>
      </c>
      <c r="L54" s="41" t="str" cm="1">
        <f t="array" ref="L54">IF($V54="","",IFERROR(INDEX(Articulacion!I:I,$V54),0))</f>
        <v/>
      </c>
      <c r="M54" s="41" t="str" cm="1">
        <f t="array" ref="M54">IF($V54="","",IFERROR(INDEX(Articulacion!J:J,$V54),0))</f>
        <v/>
      </c>
      <c r="N54" s="41" t="str" cm="1">
        <f t="array" ref="N54">IF($V54="","",IFERROR(INDEX(Articulacion!K:K,$V54),0))</f>
        <v/>
      </c>
      <c r="O54" s="41" t="str" cm="1">
        <f t="array" ref="O54">IF($V54="","",IFERROR(INDEX(Articulacion!L:L,$V54),0))</f>
        <v/>
      </c>
      <c r="P54" s="41" t="str" cm="1">
        <f t="array" ref="P54">IF($V54="","",IFERROR(INDEX(Articulacion!M:M,$V54),0))</f>
        <v/>
      </c>
      <c r="Q54" s="41" t="str" cm="1">
        <f t="array" ref="Q54">IF($V54="","",IFERROR(INDEX(Articulacion!N:N,$V54),0))</f>
        <v/>
      </c>
      <c r="R54" s="41" t="str" cm="1">
        <f t="array" ref="R54">IF($V54="","",IFERROR(INDEX(Articulacion!O:O,$V54),0))</f>
        <v/>
      </c>
      <c r="S54" s="41" t="str" cm="1">
        <f t="array" ref="S54">IF($V54="","",IFERROR(INDEX(Articulacion!P:P,$V54),0))</f>
        <v/>
      </c>
      <c r="T54" s="41" t="str" cm="1">
        <f t="array" ref="T54">IF($V54="","",IFERROR(INDEX(Articulacion!Q:Q,$V54),0))</f>
        <v/>
      </c>
      <c r="U54" s="48">
        <f t="shared" si="3"/>
        <v>0</v>
      </c>
      <c r="V54" s="49"/>
      <c r="W54" s="41"/>
      <c r="X54" s="41"/>
      <c r="Y54" s="41"/>
      <c r="Z54" s="41"/>
      <c r="AA54" s="41"/>
      <c r="AB54" s="41"/>
      <c r="AC54" s="41"/>
      <c r="AD54" s="41"/>
      <c r="AE54" s="41"/>
      <c r="AF54" s="41"/>
      <c r="AG54" s="41"/>
      <c r="AH54" s="41"/>
      <c r="AI54" s="41"/>
      <c r="AJ54" s="41"/>
      <c r="AK54" s="41"/>
      <c r="AL54" s="41"/>
      <c r="AM54" s="41"/>
      <c r="AN54" s="41"/>
      <c r="AO54" s="41"/>
      <c r="AP54" s="41"/>
      <c r="AQ54" s="41">
        <v>6</v>
      </c>
      <c r="AR54" s="41">
        <v>6</v>
      </c>
      <c r="AS54" s="41"/>
      <c r="AT54" s="41"/>
      <c r="AU54" s="41"/>
      <c r="AV54" s="41"/>
      <c r="AW54" s="41"/>
      <c r="AX54" s="46">
        <f t="shared" si="1"/>
        <v>12</v>
      </c>
      <c r="AY54" s="42">
        <f t="shared" si="2"/>
        <v>0</v>
      </c>
    </row>
    <row r="55" spans="1:51" x14ac:dyDescent="0.25">
      <c r="A55" s="38">
        <v>53</v>
      </c>
      <c r="B55" s="39" t="s">
        <v>154</v>
      </c>
      <c r="C55" s="40" t="s">
        <v>155</v>
      </c>
      <c r="D55" s="40" t="s">
        <v>55</v>
      </c>
      <c r="E55" s="40" t="s">
        <v>55</v>
      </c>
      <c r="F55" s="40" t="s">
        <v>55</v>
      </c>
      <c r="G55" s="38">
        <v>8</v>
      </c>
      <c r="H55" s="40">
        <v>33613.449999999997</v>
      </c>
      <c r="I55" s="40">
        <v>0</v>
      </c>
      <c r="J55" s="41" t="str" cm="1">
        <f t="array" ref="J55">IF($V55="","",IFERROR(INDEX(Articulacion!G:G,$V55),0))</f>
        <v/>
      </c>
      <c r="K55" s="41" t="str" cm="1">
        <f t="array" ref="K55">IF($V55="","",IFERROR(INDEX(Articulacion!H:H,$V55),0))</f>
        <v/>
      </c>
      <c r="L55" s="41" t="str" cm="1">
        <f t="array" ref="L55">IF($V55="","",IFERROR(INDEX(Articulacion!I:I,$V55),0))</f>
        <v/>
      </c>
      <c r="M55" s="41" t="str" cm="1">
        <f t="array" ref="M55">IF($V55="","",IFERROR(INDEX(Articulacion!J:J,$V55),0))</f>
        <v/>
      </c>
      <c r="N55" s="41" t="str" cm="1">
        <f t="array" ref="N55">IF($V55="","",IFERROR(INDEX(Articulacion!K:K,$V55),0))</f>
        <v/>
      </c>
      <c r="O55" s="41" t="str" cm="1">
        <f t="array" ref="O55">IF($V55="","",IFERROR(INDEX(Articulacion!L:L,$V55),0))</f>
        <v/>
      </c>
      <c r="P55" s="41" t="str" cm="1">
        <f t="array" ref="P55">IF($V55="","",IFERROR(INDEX(Articulacion!M:M,$V55),0))</f>
        <v/>
      </c>
      <c r="Q55" s="41" t="str" cm="1">
        <f t="array" ref="Q55">IF($V55="","",IFERROR(INDEX(Articulacion!N:N,$V55),0))</f>
        <v/>
      </c>
      <c r="R55" s="41" t="str" cm="1">
        <f t="array" ref="R55">IF($V55="","",IFERROR(INDEX(Articulacion!O:O,$V55),0))</f>
        <v/>
      </c>
      <c r="S55" s="41" t="str" cm="1">
        <f t="array" ref="S55">IF($V55="","",IFERROR(INDEX(Articulacion!P:P,$V55),0))</f>
        <v/>
      </c>
      <c r="T55" s="41" t="str" cm="1">
        <f t="array" ref="T55">IF($V55="","",IFERROR(INDEX(Articulacion!Q:Q,$V55),0))</f>
        <v/>
      </c>
      <c r="U55" s="48">
        <f t="shared" si="3"/>
        <v>0</v>
      </c>
      <c r="V55" s="49"/>
      <c r="W55" s="40">
        <v>1</v>
      </c>
      <c r="X55" s="40">
        <v>1</v>
      </c>
      <c r="Y55" s="40">
        <v>1</v>
      </c>
      <c r="Z55" s="40">
        <v>1</v>
      </c>
      <c r="AA55" s="40">
        <v>1</v>
      </c>
      <c r="AB55" s="40">
        <v>1</v>
      </c>
      <c r="AC55" s="40">
        <v>1</v>
      </c>
      <c r="AD55" s="40">
        <v>1</v>
      </c>
      <c r="AE55" s="40"/>
      <c r="AF55" s="40"/>
      <c r="AG55" s="40"/>
      <c r="AH55" s="40"/>
      <c r="AI55" s="40"/>
      <c r="AJ55" s="40"/>
      <c r="AK55" s="40"/>
      <c r="AL55" s="40"/>
      <c r="AM55" s="40"/>
      <c r="AN55" s="40"/>
      <c r="AO55" s="40"/>
      <c r="AP55" s="40"/>
      <c r="AQ55" s="40"/>
      <c r="AR55" s="40"/>
      <c r="AS55" s="40"/>
      <c r="AT55" s="40"/>
      <c r="AU55" s="40"/>
      <c r="AV55" s="40"/>
      <c r="AW55" s="40"/>
      <c r="AX55" s="46">
        <f t="shared" si="1"/>
        <v>8</v>
      </c>
      <c r="AY55" s="42">
        <f t="shared" si="2"/>
        <v>0</v>
      </c>
    </row>
    <row r="56" spans="1:51" x14ac:dyDescent="0.25">
      <c r="A56" s="38">
        <v>52</v>
      </c>
      <c r="B56" s="39" t="s">
        <v>152</v>
      </c>
      <c r="C56" s="40" t="s">
        <v>153</v>
      </c>
      <c r="D56" s="40" t="s">
        <v>55</v>
      </c>
      <c r="E56" s="40" t="s">
        <v>55</v>
      </c>
      <c r="F56" s="40" t="s">
        <v>55</v>
      </c>
      <c r="G56" s="38">
        <v>10</v>
      </c>
      <c r="H56" s="40">
        <v>29411.759999999998</v>
      </c>
      <c r="I56" s="40">
        <v>0</v>
      </c>
      <c r="J56" s="41" t="str" cm="1">
        <f t="array" ref="J56">IF($V56="","",IFERROR(INDEX(Articulacion!G:G,$V56),0))</f>
        <v/>
      </c>
      <c r="K56" s="41" t="str" cm="1">
        <f t="array" ref="K56">IF($V56="","",IFERROR(INDEX(Articulacion!H:H,$V56),0))</f>
        <v/>
      </c>
      <c r="L56" s="41" t="str" cm="1">
        <f t="array" ref="L56">IF($V56="","",IFERROR(INDEX(Articulacion!I:I,$V56),0))</f>
        <v/>
      </c>
      <c r="M56" s="41" t="str" cm="1">
        <f t="array" ref="M56">IF($V56="","",IFERROR(INDEX(Articulacion!J:J,$V56),0))</f>
        <v/>
      </c>
      <c r="N56" s="41" t="str" cm="1">
        <f t="array" ref="N56">IF($V56="","",IFERROR(INDEX(Articulacion!K:K,$V56),0))</f>
        <v/>
      </c>
      <c r="O56" s="41" t="str" cm="1">
        <f t="array" ref="O56">IF($V56="","",IFERROR(INDEX(Articulacion!L:L,$V56),0))</f>
        <v/>
      </c>
      <c r="P56" s="41" t="str" cm="1">
        <f t="array" ref="P56">IF($V56="","",IFERROR(INDEX(Articulacion!M:M,$V56),0))</f>
        <v/>
      </c>
      <c r="Q56" s="41" t="str" cm="1">
        <f t="array" ref="Q56">IF($V56="","",IFERROR(INDEX(Articulacion!N:N,$V56),0))</f>
        <v/>
      </c>
      <c r="R56" s="41" t="str" cm="1">
        <f t="array" ref="R56">IF($V56="","",IFERROR(INDEX(Articulacion!O:O,$V56),0))</f>
        <v/>
      </c>
      <c r="S56" s="41" t="str" cm="1">
        <f t="array" ref="S56">IF($V56="","",IFERROR(INDEX(Articulacion!P:P,$V56),0))</f>
        <v/>
      </c>
      <c r="T56" s="41" t="str" cm="1">
        <f t="array" ref="T56">IF($V56="","",IFERROR(INDEX(Articulacion!Q:Q,$V56),0))</f>
        <v/>
      </c>
      <c r="U56" s="48">
        <f t="shared" si="3"/>
        <v>0</v>
      </c>
      <c r="V56" s="49"/>
      <c r="W56" s="40"/>
      <c r="X56" s="40"/>
      <c r="Y56" s="40"/>
      <c r="Z56" s="40"/>
      <c r="AA56" s="40"/>
      <c r="AB56" s="40"/>
      <c r="AC56" s="40"/>
      <c r="AD56" s="40"/>
      <c r="AE56" s="40">
        <v>1</v>
      </c>
      <c r="AF56" s="40">
        <v>1</v>
      </c>
      <c r="AG56" s="40">
        <v>1</v>
      </c>
      <c r="AH56" s="40">
        <v>1</v>
      </c>
      <c r="AI56" s="40">
        <v>1</v>
      </c>
      <c r="AJ56" s="40">
        <v>1</v>
      </c>
      <c r="AK56" s="40">
        <v>1</v>
      </c>
      <c r="AL56" s="40">
        <v>1</v>
      </c>
      <c r="AM56" s="40">
        <v>1</v>
      </c>
      <c r="AN56" s="40">
        <v>1</v>
      </c>
      <c r="AO56" s="40"/>
      <c r="AP56" s="40"/>
      <c r="AQ56" s="40"/>
      <c r="AR56" s="40"/>
      <c r="AS56" s="40"/>
      <c r="AT56" s="40"/>
      <c r="AU56" s="40"/>
      <c r="AV56" s="40"/>
      <c r="AW56" s="40"/>
      <c r="AX56" s="46">
        <f t="shared" si="1"/>
        <v>10</v>
      </c>
      <c r="AY56" s="42">
        <f t="shared" si="2"/>
        <v>0</v>
      </c>
    </row>
    <row r="57" spans="1:51" x14ac:dyDescent="0.25">
      <c r="A57" s="38">
        <v>54</v>
      </c>
      <c r="B57" s="39" t="s">
        <v>156</v>
      </c>
      <c r="C57" s="40" t="s">
        <v>157</v>
      </c>
      <c r="D57" s="40" t="s">
        <v>55</v>
      </c>
      <c r="E57" s="40" t="s">
        <v>55</v>
      </c>
      <c r="F57" s="40" t="s">
        <v>55</v>
      </c>
      <c r="G57" s="38">
        <v>3</v>
      </c>
      <c r="H57" s="40">
        <v>29411.759999999998</v>
      </c>
      <c r="I57" s="40">
        <v>0</v>
      </c>
      <c r="J57" s="41" t="str" cm="1">
        <f t="array" ref="J57">IF($V57="","",IFERROR(INDEX(Articulacion!G:G,$V57),0))</f>
        <v/>
      </c>
      <c r="K57" s="41" t="str" cm="1">
        <f t="array" ref="K57">IF($V57="","",IFERROR(INDEX(Articulacion!H:H,$V57),0))</f>
        <v/>
      </c>
      <c r="L57" s="41" t="str" cm="1">
        <f t="array" ref="L57">IF($V57="","",IFERROR(INDEX(Articulacion!I:I,$V57),0))</f>
        <v/>
      </c>
      <c r="M57" s="41" t="str" cm="1">
        <f t="array" ref="M57">IF($V57="","",IFERROR(INDEX(Articulacion!J:J,$V57),0))</f>
        <v/>
      </c>
      <c r="N57" s="41" t="str" cm="1">
        <f t="array" ref="N57">IF($V57="","",IFERROR(INDEX(Articulacion!K:K,$V57),0))</f>
        <v/>
      </c>
      <c r="O57" s="41" t="str" cm="1">
        <f t="array" ref="O57">IF($V57="","",IFERROR(INDEX(Articulacion!L:L,$V57),0))</f>
        <v/>
      </c>
      <c r="P57" s="41" t="str" cm="1">
        <f t="array" ref="P57">IF($V57="","",IFERROR(INDEX(Articulacion!M:M,$V57),0))</f>
        <v/>
      </c>
      <c r="Q57" s="41" t="str" cm="1">
        <f t="array" ref="Q57">IF($V57="","",IFERROR(INDEX(Articulacion!N:N,$V57),0))</f>
        <v/>
      </c>
      <c r="R57" s="41" t="str" cm="1">
        <f t="array" ref="R57">IF($V57="","",IFERROR(INDEX(Articulacion!O:O,$V57),0))</f>
        <v/>
      </c>
      <c r="S57" s="41" t="str" cm="1">
        <f t="array" ref="S57">IF($V57="","",IFERROR(INDEX(Articulacion!P:P,$V57),0))</f>
        <v/>
      </c>
      <c r="T57" s="41" t="str" cm="1">
        <f t="array" ref="T57">IF($V57="","",IFERROR(INDEX(Articulacion!Q:Q,$V57),0))</f>
        <v/>
      </c>
      <c r="U57" s="48">
        <f t="shared" si="3"/>
        <v>0</v>
      </c>
      <c r="V57" s="49"/>
      <c r="W57" s="40"/>
      <c r="X57" s="40"/>
      <c r="Y57" s="40"/>
      <c r="Z57" s="40"/>
      <c r="AA57" s="40"/>
      <c r="AB57" s="40"/>
      <c r="AC57" s="40"/>
      <c r="AD57" s="40"/>
      <c r="AE57" s="40"/>
      <c r="AF57" s="40"/>
      <c r="AG57" s="40"/>
      <c r="AH57" s="40"/>
      <c r="AI57" s="40"/>
      <c r="AJ57" s="40"/>
      <c r="AK57" s="40"/>
      <c r="AL57" s="40"/>
      <c r="AM57" s="40"/>
      <c r="AN57" s="40"/>
      <c r="AO57" s="40"/>
      <c r="AP57" s="40"/>
      <c r="AQ57" s="40">
        <v>1</v>
      </c>
      <c r="AR57" s="40">
        <v>2</v>
      </c>
      <c r="AS57" s="40"/>
      <c r="AT57" s="40"/>
      <c r="AU57" s="40"/>
      <c r="AV57" s="40"/>
      <c r="AW57" s="40"/>
      <c r="AX57" s="46">
        <f t="shared" si="1"/>
        <v>3</v>
      </c>
      <c r="AY57" s="42">
        <f t="shared" si="2"/>
        <v>0</v>
      </c>
    </row>
    <row r="58" spans="1:51" x14ac:dyDescent="0.25">
      <c r="A58" s="38">
        <v>50</v>
      </c>
      <c r="B58" s="39" t="s">
        <v>148</v>
      </c>
      <c r="C58" s="40" t="s">
        <v>149</v>
      </c>
      <c r="D58" s="40" t="s">
        <v>55</v>
      </c>
      <c r="E58" s="40" t="s">
        <v>55</v>
      </c>
      <c r="F58" s="40" t="s">
        <v>55</v>
      </c>
      <c r="G58" s="38">
        <v>12</v>
      </c>
      <c r="H58" s="40">
        <v>29411.759999999998</v>
      </c>
      <c r="I58" s="40">
        <v>0</v>
      </c>
      <c r="J58" s="41" cm="1">
        <f t="array" ref="J58">IF($V58="","",IFERROR(INDEX(Articulacion!G:G,$V58),0))</f>
        <v>0</v>
      </c>
      <c r="K58" s="41" cm="1">
        <f t="array" ref="K58">IF($V58="","",IFERROR(INDEX(Articulacion!H:H,$V58),0))</f>
        <v>1</v>
      </c>
      <c r="L58" s="41" cm="1">
        <f t="array" ref="L58">IF($V58="","",IFERROR(INDEX(Articulacion!I:I,$V58),0))</f>
        <v>1</v>
      </c>
      <c r="M58" s="41" cm="1">
        <f t="array" ref="M58">IF($V58="","",IFERROR(INDEX(Articulacion!J:J,$V58),0))</f>
        <v>0</v>
      </c>
      <c r="N58" s="41" cm="1">
        <f t="array" ref="N58">IF($V58="","",IFERROR(INDEX(Articulacion!K:K,$V58),0))</f>
        <v>0</v>
      </c>
      <c r="O58" s="41" cm="1">
        <f t="array" ref="O58">IF($V58="","",IFERROR(INDEX(Articulacion!L:L,$V58),0))</f>
        <v>0</v>
      </c>
      <c r="P58" s="41" cm="1">
        <f t="array" ref="P58">IF($V58="","",IFERROR(INDEX(Articulacion!M:M,$V58),0))</f>
        <v>0</v>
      </c>
      <c r="Q58" s="41" cm="1">
        <f t="array" ref="Q58">IF($V58="","",IFERROR(INDEX(Articulacion!N:N,$V58),0))</f>
        <v>0</v>
      </c>
      <c r="R58" s="41" cm="1">
        <f t="array" ref="R58">IF($V58="","",IFERROR(INDEX(Articulacion!O:O,$V58),0))</f>
        <v>0</v>
      </c>
      <c r="S58" s="41" cm="1">
        <f t="array" ref="S58">IF($V58="","",IFERROR(INDEX(Articulacion!P:P,$V58),0))</f>
        <v>0</v>
      </c>
      <c r="T58" s="41" cm="1">
        <f t="array" ref="T58">IF($V58="","",IFERROR(INDEX(Articulacion!Q:Q,$V58),0))</f>
        <v>0</v>
      </c>
      <c r="U58" s="48">
        <f t="shared" si="3"/>
        <v>2</v>
      </c>
      <c r="V58" s="49">
        <v>8</v>
      </c>
      <c r="W58" s="40">
        <v>1</v>
      </c>
      <c r="X58" s="40">
        <v>1</v>
      </c>
      <c r="Y58" s="40">
        <v>1</v>
      </c>
      <c r="Z58" s="40">
        <v>1</v>
      </c>
      <c r="AA58" s="40">
        <v>1</v>
      </c>
      <c r="AB58" s="40">
        <v>1</v>
      </c>
      <c r="AC58" s="40">
        <v>1</v>
      </c>
      <c r="AD58" s="40">
        <v>1</v>
      </c>
      <c r="AE58" s="40">
        <v>1</v>
      </c>
      <c r="AF58" s="40">
        <v>1</v>
      </c>
      <c r="AG58" s="40"/>
      <c r="AH58" s="40"/>
      <c r="AI58" s="40"/>
      <c r="AJ58" s="40"/>
      <c r="AK58" s="40"/>
      <c r="AL58" s="40"/>
      <c r="AM58" s="40"/>
      <c r="AN58" s="40"/>
      <c r="AO58" s="40"/>
      <c r="AP58" s="40"/>
      <c r="AQ58" s="40"/>
      <c r="AR58" s="40"/>
      <c r="AS58" s="40"/>
      <c r="AT58" s="40"/>
      <c r="AU58" s="40"/>
      <c r="AV58" s="40"/>
      <c r="AW58" s="40"/>
      <c r="AX58" s="46">
        <f t="shared" si="1"/>
        <v>10</v>
      </c>
      <c r="AY58" s="42">
        <f t="shared" si="2"/>
        <v>0</v>
      </c>
    </row>
    <row r="59" spans="1:51" x14ac:dyDescent="0.25">
      <c r="A59" s="38">
        <v>55</v>
      </c>
      <c r="B59" s="39" t="s">
        <v>158</v>
      </c>
      <c r="C59" s="40" t="s">
        <v>159</v>
      </c>
      <c r="D59" s="40" t="s">
        <v>55</v>
      </c>
      <c r="E59" s="40" t="s">
        <v>55</v>
      </c>
      <c r="F59" s="40" t="s">
        <v>55</v>
      </c>
      <c r="G59" s="38">
        <v>5</v>
      </c>
      <c r="H59" s="40">
        <v>54621.85</v>
      </c>
      <c r="I59" s="40">
        <v>0</v>
      </c>
      <c r="J59" s="41" t="str" cm="1">
        <f t="array" ref="J59">IF($V59="","",IFERROR(INDEX(Articulacion!G:G,$V59),0))</f>
        <v/>
      </c>
      <c r="K59" s="41" t="str" cm="1">
        <f t="array" ref="K59">IF($V59="","",IFERROR(INDEX(Articulacion!H:H,$V59),0))</f>
        <v/>
      </c>
      <c r="L59" s="41" t="str" cm="1">
        <f t="array" ref="L59">IF($V59="","",IFERROR(INDEX(Articulacion!I:I,$V59),0))</f>
        <v/>
      </c>
      <c r="M59" s="41" t="str" cm="1">
        <f t="array" ref="M59">IF($V59="","",IFERROR(INDEX(Articulacion!J:J,$V59),0))</f>
        <v/>
      </c>
      <c r="N59" s="41" t="str" cm="1">
        <f t="array" ref="N59">IF($V59="","",IFERROR(INDEX(Articulacion!K:K,$V59),0))</f>
        <v/>
      </c>
      <c r="O59" s="41" t="str" cm="1">
        <f t="array" ref="O59">IF($V59="","",IFERROR(INDEX(Articulacion!L:L,$V59),0))</f>
        <v/>
      </c>
      <c r="P59" s="41" t="str" cm="1">
        <f t="array" ref="P59">IF($V59="","",IFERROR(INDEX(Articulacion!M:M,$V59),0))</f>
        <v/>
      </c>
      <c r="Q59" s="41" t="str" cm="1">
        <f t="array" ref="Q59">IF($V59="","",IFERROR(INDEX(Articulacion!N:N,$V59),0))</f>
        <v/>
      </c>
      <c r="R59" s="41" t="str" cm="1">
        <f t="array" ref="R59">IF($V59="","",IFERROR(INDEX(Articulacion!O:O,$V59),0))</f>
        <v/>
      </c>
      <c r="S59" s="41" t="str" cm="1">
        <f t="array" ref="S59">IF($V59="","",IFERROR(INDEX(Articulacion!P:P,$V59),0))</f>
        <v/>
      </c>
      <c r="T59" s="41" t="str" cm="1">
        <f t="array" ref="T59">IF($V59="","",IFERROR(INDEX(Articulacion!Q:Q,$V59),0))</f>
        <v/>
      </c>
      <c r="U59" s="48">
        <f t="shared" si="3"/>
        <v>0</v>
      </c>
      <c r="V59" s="49"/>
      <c r="W59" s="40"/>
      <c r="X59" s="40"/>
      <c r="Y59" s="40"/>
      <c r="Z59" s="40"/>
      <c r="AA59" s="40"/>
      <c r="AB59" s="40"/>
      <c r="AC59" s="40"/>
      <c r="AD59" s="40"/>
      <c r="AE59" s="40"/>
      <c r="AF59" s="40"/>
      <c r="AG59" s="40"/>
      <c r="AH59" s="40"/>
      <c r="AI59" s="40"/>
      <c r="AJ59" s="40"/>
      <c r="AK59" s="40"/>
      <c r="AL59" s="40"/>
      <c r="AM59" s="40"/>
      <c r="AN59" s="40"/>
      <c r="AO59" s="40">
        <v>1</v>
      </c>
      <c r="AP59" s="40">
        <v>1</v>
      </c>
      <c r="AQ59" s="40">
        <v>1</v>
      </c>
      <c r="AR59" s="40">
        <v>1</v>
      </c>
      <c r="AS59" s="40">
        <v>1</v>
      </c>
      <c r="AT59" s="40"/>
      <c r="AU59" s="40"/>
      <c r="AV59" s="40"/>
      <c r="AW59" s="40"/>
      <c r="AX59" s="46">
        <f t="shared" si="1"/>
        <v>5</v>
      </c>
      <c r="AY59" s="42">
        <f t="shared" si="2"/>
        <v>0</v>
      </c>
    </row>
    <row r="60" spans="1:51" x14ac:dyDescent="0.25">
      <c r="A60" s="38">
        <v>56</v>
      </c>
      <c r="B60" s="39" t="s">
        <v>160</v>
      </c>
      <c r="C60" s="40" t="s">
        <v>161</v>
      </c>
      <c r="D60" s="40" t="s">
        <v>55</v>
      </c>
      <c r="E60" s="40" t="s">
        <v>55</v>
      </c>
      <c r="F60" s="40" t="s">
        <v>55</v>
      </c>
      <c r="G60" s="38">
        <v>9</v>
      </c>
      <c r="H60" s="40">
        <v>54621.85</v>
      </c>
      <c r="I60" s="40">
        <v>0</v>
      </c>
      <c r="J60" s="41" cm="1">
        <f t="array" ref="J60">IF($V60="","",IFERROR(INDEX(Articulacion!G:G,$V60),0))</f>
        <v>0</v>
      </c>
      <c r="K60" s="41" cm="1">
        <f t="array" ref="K60">IF($V60="","",IFERROR(INDEX(Articulacion!H:H,$V60),0))</f>
        <v>0</v>
      </c>
      <c r="L60" s="41" cm="1">
        <f t="array" ref="L60">IF($V60="","",IFERROR(INDEX(Articulacion!I:I,$V60),0))</f>
        <v>1</v>
      </c>
      <c r="M60" s="41" cm="1">
        <f t="array" ref="M60">IF($V60="","",IFERROR(INDEX(Articulacion!J:J,$V60),0))</f>
        <v>0</v>
      </c>
      <c r="N60" s="41" cm="1">
        <f t="array" ref="N60">IF($V60="","",IFERROR(INDEX(Articulacion!K:K,$V60),0))</f>
        <v>0</v>
      </c>
      <c r="O60" s="41" cm="1">
        <f t="array" ref="O60">IF($V60="","",IFERROR(INDEX(Articulacion!L:L,$V60),0))</f>
        <v>0</v>
      </c>
      <c r="P60" s="41" cm="1">
        <f t="array" ref="P60">IF($V60="","",IFERROR(INDEX(Articulacion!M:M,$V60),0))</f>
        <v>0</v>
      </c>
      <c r="Q60" s="41" cm="1">
        <f t="array" ref="Q60">IF($V60="","",IFERROR(INDEX(Articulacion!N:N,$V60),0))</f>
        <v>0</v>
      </c>
      <c r="R60" s="41" cm="1">
        <f t="array" ref="R60">IF($V60="","",IFERROR(INDEX(Articulacion!O:O,$V60),0))</f>
        <v>0</v>
      </c>
      <c r="S60" s="41" cm="1">
        <f t="array" ref="S60">IF($V60="","",IFERROR(INDEX(Articulacion!P:P,$V60),0))</f>
        <v>0</v>
      </c>
      <c r="T60" s="41" cm="1">
        <f t="array" ref="T60">IF($V60="","",IFERROR(INDEX(Articulacion!Q:Q,$V60),0))</f>
        <v>0</v>
      </c>
      <c r="U60" s="48">
        <f t="shared" si="3"/>
        <v>1</v>
      </c>
      <c r="V60" s="49">
        <v>6</v>
      </c>
      <c r="W60" s="40"/>
      <c r="X60" s="40"/>
      <c r="Y60" s="40"/>
      <c r="Z60" s="40"/>
      <c r="AA60" s="40"/>
      <c r="AB60" s="40"/>
      <c r="AC60" s="40"/>
      <c r="AD60" s="40"/>
      <c r="AE60" s="40"/>
      <c r="AF60" s="40"/>
      <c r="AG60" s="40"/>
      <c r="AH60" s="40"/>
      <c r="AI60" s="40"/>
      <c r="AJ60" s="40"/>
      <c r="AK60" s="40"/>
      <c r="AL60" s="40"/>
      <c r="AM60" s="40"/>
      <c r="AN60" s="40"/>
      <c r="AO60" s="40"/>
      <c r="AP60" s="40">
        <v>1</v>
      </c>
      <c r="AQ60" s="40">
        <v>1</v>
      </c>
      <c r="AR60" s="40">
        <v>1</v>
      </c>
      <c r="AS60" s="40">
        <v>1</v>
      </c>
      <c r="AT60" s="40">
        <v>1</v>
      </c>
      <c r="AU60" s="40">
        <v>1</v>
      </c>
      <c r="AV60" s="40">
        <v>1</v>
      </c>
      <c r="AW60" s="40">
        <v>1</v>
      </c>
      <c r="AX60" s="46">
        <f t="shared" si="1"/>
        <v>8</v>
      </c>
      <c r="AY60" s="42">
        <f t="shared" si="2"/>
        <v>0</v>
      </c>
    </row>
    <row r="61" spans="1:51" x14ac:dyDescent="0.25">
      <c r="A61" s="38">
        <v>49</v>
      </c>
      <c r="B61" s="39" t="s">
        <v>146</v>
      </c>
      <c r="C61" s="40" t="s">
        <v>147</v>
      </c>
      <c r="D61" s="40" t="s">
        <v>55</v>
      </c>
      <c r="E61" s="40" t="s">
        <v>55</v>
      </c>
      <c r="F61" s="40" t="s">
        <v>55</v>
      </c>
      <c r="G61" s="38">
        <v>10</v>
      </c>
      <c r="H61" s="40">
        <v>28571.43</v>
      </c>
      <c r="I61" s="40">
        <v>0</v>
      </c>
      <c r="J61" s="41" t="str" cm="1">
        <f t="array" ref="J61">IF($V61="","",IFERROR(INDEX(Articulacion!G:G,$V61),0))</f>
        <v/>
      </c>
      <c r="K61" s="41" t="str" cm="1">
        <f t="array" ref="K61">IF($V61="","",IFERROR(INDEX(Articulacion!H:H,$V61),0))</f>
        <v/>
      </c>
      <c r="L61" s="41" t="str" cm="1">
        <f t="array" ref="L61">IF($V61="","",IFERROR(INDEX(Articulacion!I:I,$V61),0))</f>
        <v/>
      </c>
      <c r="M61" s="41" t="str" cm="1">
        <f t="array" ref="M61">IF($V61="","",IFERROR(INDEX(Articulacion!J:J,$V61),0))</f>
        <v/>
      </c>
      <c r="N61" s="41" t="str" cm="1">
        <f t="array" ref="N61">IF($V61="","",IFERROR(INDEX(Articulacion!K:K,$V61),0))</f>
        <v/>
      </c>
      <c r="O61" s="41" t="str" cm="1">
        <f t="array" ref="O61">IF($V61="","",IFERROR(INDEX(Articulacion!L:L,$V61),0))</f>
        <v/>
      </c>
      <c r="P61" s="41" t="str" cm="1">
        <f t="array" ref="P61">IF($V61="","",IFERROR(INDEX(Articulacion!M:M,$V61),0))</f>
        <v/>
      </c>
      <c r="Q61" s="41" t="str" cm="1">
        <f t="array" ref="Q61">IF($V61="","",IFERROR(INDEX(Articulacion!N:N,$V61),0))</f>
        <v/>
      </c>
      <c r="R61" s="41" t="str" cm="1">
        <f t="array" ref="R61">IF($V61="","",IFERROR(INDEX(Articulacion!O:O,$V61),0))</f>
        <v/>
      </c>
      <c r="S61" s="41" t="str" cm="1">
        <f t="array" ref="S61">IF($V61="","",IFERROR(INDEX(Articulacion!P:P,$V61),0))</f>
        <v/>
      </c>
      <c r="T61" s="41" t="str" cm="1">
        <f t="array" ref="T61">IF($V61="","",IFERROR(INDEX(Articulacion!Q:Q,$V61),0))</f>
        <v/>
      </c>
      <c r="U61" s="48">
        <f t="shared" si="3"/>
        <v>0</v>
      </c>
      <c r="V61" s="49"/>
      <c r="W61" s="40"/>
      <c r="X61" s="40"/>
      <c r="Y61" s="40"/>
      <c r="Z61" s="40"/>
      <c r="AA61" s="40"/>
      <c r="AB61" s="40"/>
      <c r="AC61" s="40"/>
      <c r="AD61" s="40"/>
      <c r="AE61" s="40"/>
      <c r="AF61" s="40"/>
      <c r="AG61" s="40">
        <v>1</v>
      </c>
      <c r="AH61" s="40">
        <v>1</v>
      </c>
      <c r="AI61" s="40">
        <v>1</v>
      </c>
      <c r="AJ61" s="40">
        <v>1</v>
      </c>
      <c r="AK61" s="40">
        <v>1</v>
      </c>
      <c r="AL61" s="40">
        <v>1</v>
      </c>
      <c r="AM61" s="40">
        <v>1</v>
      </c>
      <c r="AN61" s="40">
        <v>2</v>
      </c>
      <c r="AO61" s="40">
        <v>1</v>
      </c>
      <c r="AP61" s="40"/>
      <c r="AQ61" s="40"/>
      <c r="AR61" s="40"/>
      <c r="AS61" s="40"/>
      <c r="AT61" s="40"/>
      <c r="AU61" s="40"/>
      <c r="AV61" s="40"/>
      <c r="AW61" s="40"/>
      <c r="AX61" s="46">
        <f t="shared" si="1"/>
        <v>10</v>
      </c>
      <c r="AY61" s="42">
        <f t="shared" si="2"/>
        <v>0</v>
      </c>
    </row>
    <row r="62" spans="1:51" x14ac:dyDescent="0.25">
      <c r="A62" s="38">
        <v>51</v>
      </c>
      <c r="B62" s="39" t="s">
        <v>150</v>
      </c>
      <c r="C62" s="40" t="s">
        <v>151</v>
      </c>
      <c r="D62" s="40" t="s">
        <v>55</v>
      </c>
      <c r="E62" s="40" t="s">
        <v>55</v>
      </c>
      <c r="F62" s="40" t="s">
        <v>55</v>
      </c>
      <c r="G62" s="38">
        <v>13</v>
      </c>
      <c r="H62" s="40">
        <v>28571.43</v>
      </c>
      <c r="I62" s="40">
        <v>0</v>
      </c>
      <c r="J62" s="41" cm="1">
        <f t="array" ref="J62">IF($V62="","",IFERROR(INDEX(Articulacion!G:G,$V62),0))</f>
        <v>1</v>
      </c>
      <c r="K62" s="41" cm="1">
        <f t="array" ref="K62">IF($V62="","",IFERROR(INDEX(Articulacion!H:H,$V62),0))</f>
        <v>0</v>
      </c>
      <c r="L62" s="41" cm="1">
        <f t="array" ref="L62">IF($V62="","",IFERROR(INDEX(Articulacion!I:I,$V62),0))</f>
        <v>0</v>
      </c>
      <c r="M62" s="41" cm="1">
        <f t="array" ref="M62">IF($V62="","",IFERROR(INDEX(Articulacion!J:J,$V62),0))</f>
        <v>0</v>
      </c>
      <c r="N62" s="41" cm="1">
        <f t="array" ref="N62">IF($V62="","",IFERROR(INDEX(Articulacion!K:K,$V62),0))</f>
        <v>0</v>
      </c>
      <c r="O62" s="41" cm="1">
        <f t="array" ref="O62">IF($V62="","",IFERROR(INDEX(Articulacion!L:L,$V62),0))</f>
        <v>1</v>
      </c>
      <c r="P62" s="41" cm="1">
        <f t="array" ref="P62">IF($V62="","",IFERROR(INDEX(Articulacion!M:M,$V62),0))</f>
        <v>1</v>
      </c>
      <c r="Q62" s="41" cm="1">
        <f t="array" ref="Q62">IF($V62="","",IFERROR(INDEX(Articulacion!N:N,$V62),0))</f>
        <v>0</v>
      </c>
      <c r="R62" s="41" cm="1">
        <f t="array" ref="R62">IF($V62="","",IFERROR(INDEX(Articulacion!O:O,$V62),0))</f>
        <v>0</v>
      </c>
      <c r="S62" s="41" cm="1">
        <f t="array" ref="S62">IF($V62="","",IFERROR(INDEX(Articulacion!P:P,$V62),0))</f>
        <v>0</v>
      </c>
      <c r="T62" s="41" cm="1">
        <f t="array" ref="T62">IF($V62="","",IFERROR(INDEX(Articulacion!Q:Q,$V62),0))</f>
        <v>0</v>
      </c>
      <c r="U62" s="48">
        <f t="shared" si="3"/>
        <v>3</v>
      </c>
      <c r="V62" s="49">
        <v>7</v>
      </c>
      <c r="W62" s="41"/>
      <c r="X62" s="41"/>
      <c r="Y62" s="41"/>
      <c r="Z62" s="41"/>
      <c r="AA62" s="41"/>
      <c r="AB62" s="41"/>
      <c r="AC62" s="41"/>
      <c r="AD62" s="41"/>
      <c r="AE62" s="41"/>
      <c r="AF62" s="41"/>
      <c r="AG62" s="41"/>
      <c r="AH62" s="41"/>
      <c r="AI62" s="41"/>
      <c r="AJ62" s="41"/>
      <c r="AK62" s="41"/>
      <c r="AL62" s="41"/>
      <c r="AM62" s="41"/>
      <c r="AN62" s="41">
        <v>1</v>
      </c>
      <c r="AO62" s="41">
        <v>1</v>
      </c>
      <c r="AP62" s="41">
        <v>1</v>
      </c>
      <c r="AQ62" s="41">
        <v>1</v>
      </c>
      <c r="AR62" s="41">
        <v>1</v>
      </c>
      <c r="AS62" s="41">
        <v>1</v>
      </c>
      <c r="AT62" s="41">
        <v>1</v>
      </c>
      <c r="AU62" s="41">
        <v>1</v>
      </c>
      <c r="AV62" s="41">
        <v>1</v>
      </c>
      <c r="AW62" s="41">
        <v>1</v>
      </c>
      <c r="AX62" s="46">
        <f t="shared" si="1"/>
        <v>10</v>
      </c>
      <c r="AY62" s="42">
        <f t="shared" si="2"/>
        <v>0</v>
      </c>
    </row>
    <row r="63" spans="1:51" x14ac:dyDescent="0.25">
      <c r="A63" s="38">
        <v>57</v>
      </c>
      <c r="B63" s="39" t="s">
        <v>91</v>
      </c>
      <c r="C63" s="40" t="s">
        <v>162</v>
      </c>
      <c r="D63" s="40" t="s">
        <v>55</v>
      </c>
      <c r="E63" s="40" t="s">
        <v>55</v>
      </c>
      <c r="F63" s="40" t="s">
        <v>55</v>
      </c>
      <c r="G63" s="38">
        <v>19</v>
      </c>
      <c r="H63" s="40">
        <v>50420.17</v>
      </c>
      <c r="I63" s="40">
        <v>0</v>
      </c>
      <c r="J63" s="41" t="str" cm="1">
        <f t="array" ref="J63">IF($V63="","",IFERROR(INDEX(Articulacion!G:G,$V63),0))</f>
        <v/>
      </c>
      <c r="K63" s="41" t="str" cm="1">
        <f t="array" ref="K63">IF($V63="","",IFERROR(INDEX(Articulacion!H:H,$V63),0))</f>
        <v/>
      </c>
      <c r="L63" s="41" t="str" cm="1">
        <f t="array" ref="L63">IF($V63="","",IFERROR(INDEX(Articulacion!I:I,$V63),0))</f>
        <v/>
      </c>
      <c r="M63" s="41" t="str" cm="1">
        <f t="array" ref="M63">IF($V63="","",IFERROR(INDEX(Articulacion!J:J,$V63),0))</f>
        <v/>
      </c>
      <c r="N63" s="41" t="str" cm="1">
        <f t="array" ref="N63">IF($V63="","",IFERROR(INDEX(Articulacion!K:K,$V63),0))</f>
        <v/>
      </c>
      <c r="O63" s="41" t="str" cm="1">
        <f t="array" ref="O63">IF($V63="","",IFERROR(INDEX(Articulacion!L:L,$V63),0))</f>
        <v/>
      </c>
      <c r="P63" s="41" t="str" cm="1">
        <f t="array" ref="P63">IF($V63="","",IFERROR(INDEX(Articulacion!M:M,$V63),0))</f>
        <v/>
      </c>
      <c r="Q63" s="41" t="str" cm="1">
        <f t="array" ref="Q63">IF($V63="","",IFERROR(INDEX(Articulacion!N:N,$V63),0))</f>
        <v/>
      </c>
      <c r="R63" s="41" t="str" cm="1">
        <f t="array" ref="R63">IF($V63="","",IFERROR(INDEX(Articulacion!O:O,$V63),0))</f>
        <v/>
      </c>
      <c r="S63" s="41" t="str" cm="1">
        <f t="array" ref="S63">IF($V63="","",IFERROR(INDEX(Articulacion!P:P,$V63),0))</f>
        <v/>
      </c>
      <c r="T63" s="41" t="str" cm="1">
        <f t="array" ref="T63">IF($V63="","",IFERROR(INDEX(Articulacion!Q:Q,$V63),0))</f>
        <v/>
      </c>
      <c r="U63" s="48">
        <f t="shared" si="3"/>
        <v>0</v>
      </c>
      <c r="V63" s="49"/>
      <c r="W63" s="40"/>
      <c r="X63" s="40"/>
      <c r="Y63" s="40"/>
      <c r="Z63" s="40"/>
      <c r="AA63" s="40"/>
      <c r="AB63" s="40"/>
      <c r="AC63" s="40"/>
      <c r="AD63" s="40"/>
      <c r="AE63" s="40"/>
      <c r="AF63" s="40"/>
      <c r="AG63" s="40"/>
      <c r="AH63" s="40"/>
      <c r="AI63" s="40">
        <v>3</v>
      </c>
      <c r="AJ63" s="40">
        <v>3</v>
      </c>
      <c r="AK63" s="40">
        <v>3</v>
      </c>
      <c r="AL63" s="40">
        <v>3</v>
      </c>
      <c r="AM63" s="40">
        <v>3</v>
      </c>
      <c r="AN63" s="40">
        <v>4</v>
      </c>
      <c r="AO63" s="40"/>
      <c r="AP63" s="40"/>
      <c r="AQ63" s="40"/>
      <c r="AR63" s="40"/>
      <c r="AS63" s="40"/>
      <c r="AT63" s="40"/>
      <c r="AU63" s="40"/>
      <c r="AV63" s="40"/>
      <c r="AW63" s="40"/>
      <c r="AX63" s="46">
        <f t="shared" si="1"/>
        <v>19</v>
      </c>
      <c r="AY63" s="42">
        <f t="shared" si="2"/>
        <v>0</v>
      </c>
    </row>
    <row r="64" spans="1:51" x14ac:dyDescent="0.25">
      <c r="A64" s="38">
        <v>48</v>
      </c>
      <c r="B64" s="39" t="s">
        <v>144</v>
      </c>
      <c r="C64" s="40" t="s">
        <v>145</v>
      </c>
      <c r="D64" s="40" t="s">
        <v>55</v>
      </c>
      <c r="E64" s="40" t="s">
        <v>55</v>
      </c>
      <c r="F64" s="40" t="s">
        <v>55</v>
      </c>
      <c r="G64" s="38">
        <v>2</v>
      </c>
      <c r="H64" s="40">
        <v>20168.07</v>
      </c>
      <c r="I64" s="40">
        <v>0</v>
      </c>
      <c r="J64" s="41" t="str" cm="1">
        <f t="array" ref="J64">IF($V64="","",IFERROR(INDEX(Articulacion!G:G,$V64),0))</f>
        <v/>
      </c>
      <c r="K64" s="41" t="str" cm="1">
        <f t="array" ref="K64">IF($V64="","",IFERROR(INDEX(Articulacion!H:H,$V64),0))</f>
        <v/>
      </c>
      <c r="L64" s="41" t="str" cm="1">
        <f t="array" ref="L64">IF($V64="","",IFERROR(INDEX(Articulacion!I:I,$V64),0))</f>
        <v/>
      </c>
      <c r="M64" s="41" t="str" cm="1">
        <f t="array" ref="M64">IF($V64="","",IFERROR(INDEX(Articulacion!J:J,$V64),0))</f>
        <v/>
      </c>
      <c r="N64" s="41" t="str" cm="1">
        <f t="array" ref="N64">IF($V64="","",IFERROR(INDEX(Articulacion!K:K,$V64),0))</f>
        <v/>
      </c>
      <c r="O64" s="41" t="str" cm="1">
        <f t="array" ref="O64">IF($V64="","",IFERROR(INDEX(Articulacion!L:L,$V64),0))</f>
        <v/>
      </c>
      <c r="P64" s="41" t="str" cm="1">
        <f t="array" ref="P64">IF($V64="","",IFERROR(INDEX(Articulacion!M:M,$V64),0))</f>
        <v/>
      </c>
      <c r="Q64" s="41" t="str" cm="1">
        <f t="array" ref="Q64">IF($V64="","",IFERROR(INDEX(Articulacion!N:N,$V64),0))</f>
        <v/>
      </c>
      <c r="R64" s="41" t="str" cm="1">
        <f t="array" ref="R64">IF($V64="","",IFERROR(INDEX(Articulacion!O:O,$V64),0))</f>
        <v/>
      </c>
      <c r="S64" s="41" t="str" cm="1">
        <f t="array" ref="S64">IF($V64="","",IFERROR(INDEX(Articulacion!P:P,$V64),0))</f>
        <v/>
      </c>
      <c r="T64" s="41" t="str" cm="1">
        <f t="array" ref="T64">IF($V64="","",IFERROR(INDEX(Articulacion!Q:Q,$V64),0))</f>
        <v/>
      </c>
      <c r="U64" s="48">
        <f t="shared" si="3"/>
        <v>0</v>
      </c>
      <c r="V64" s="49"/>
      <c r="W64" s="40">
        <v>1</v>
      </c>
      <c r="X64" s="40">
        <v>1</v>
      </c>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6">
        <f t="shared" si="1"/>
        <v>2</v>
      </c>
      <c r="AY64" s="42">
        <f t="shared" si="2"/>
        <v>0</v>
      </c>
    </row>
    <row r="65" spans="1:51" x14ac:dyDescent="0.25">
      <c r="A65" s="38">
        <v>94</v>
      </c>
      <c r="B65" s="39" t="s">
        <v>232</v>
      </c>
      <c r="C65" s="40" t="s">
        <v>233</v>
      </c>
      <c r="D65" s="40" t="s">
        <v>55</v>
      </c>
      <c r="E65" s="40" t="s">
        <v>55</v>
      </c>
      <c r="F65" s="40" t="s">
        <v>55</v>
      </c>
      <c r="G65" s="38">
        <v>15</v>
      </c>
      <c r="H65" s="40">
        <v>11764.71</v>
      </c>
      <c r="I65" s="40">
        <v>0</v>
      </c>
      <c r="J65" s="41" t="str" cm="1">
        <f t="array" ref="J65">IF($V65="","",IFERROR(INDEX(Articulacion!G:G,$V65),0))</f>
        <v/>
      </c>
      <c r="K65" s="41" t="str" cm="1">
        <f t="array" ref="K65">IF($V65="","",IFERROR(INDEX(Articulacion!H:H,$V65),0))</f>
        <v/>
      </c>
      <c r="L65" s="41" t="str" cm="1">
        <f t="array" ref="L65">IF($V65="","",IFERROR(INDEX(Articulacion!I:I,$V65),0))</f>
        <v/>
      </c>
      <c r="M65" s="41" t="str" cm="1">
        <f t="array" ref="M65">IF($V65="","",IFERROR(INDEX(Articulacion!J:J,$V65),0))</f>
        <v/>
      </c>
      <c r="N65" s="41" t="str" cm="1">
        <f t="array" ref="N65">IF($V65="","",IFERROR(INDEX(Articulacion!K:K,$V65),0))</f>
        <v/>
      </c>
      <c r="O65" s="41" t="str" cm="1">
        <f t="array" ref="O65">IF($V65="","",IFERROR(INDEX(Articulacion!L:L,$V65),0))</f>
        <v/>
      </c>
      <c r="P65" s="41" t="str" cm="1">
        <f t="array" ref="P65">IF($V65="","",IFERROR(INDEX(Articulacion!M:M,$V65),0))</f>
        <v/>
      </c>
      <c r="Q65" s="41" t="str" cm="1">
        <f t="array" ref="Q65">IF($V65="","",IFERROR(INDEX(Articulacion!N:N,$V65),0))</f>
        <v/>
      </c>
      <c r="R65" s="41" t="str" cm="1">
        <f t="array" ref="R65">IF($V65="","",IFERROR(INDEX(Articulacion!O:O,$V65),0))</f>
        <v/>
      </c>
      <c r="S65" s="41" t="str" cm="1">
        <f t="array" ref="S65">IF($V65="","",IFERROR(INDEX(Articulacion!P:P,$V65),0))</f>
        <v/>
      </c>
      <c r="T65" s="41" t="str" cm="1">
        <f t="array" ref="T65">IF($V65="","",IFERROR(INDEX(Articulacion!Q:Q,$V65),0))</f>
        <v/>
      </c>
      <c r="U65" s="48">
        <f t="shared" si="3"/>
        <v>0</v>
      </c>
      <c r="V65" s="49"/>
      <c r="W65" s="40">
        <v>1</v>
      </c>
      <c r="X65" s="40">
        <v>1</v>
      </c>
      <c r="Y65" s="40">
        <v>1</v>
      </c>
      <c r="Z65" s="40">
        <v>1</v>
      </c>
      <c r="AA65" s="40">
        <v>1</v>
      </c>
      <c r="AB65" s="40">
        <v>1</v>
      </c>
      <c r="AC65" s="40">
        <v>1</v>
      </c>
      <c r="AD65" s="40">
        <v>1</v>
      </c>
      <c r="AE65" s="40">
        <v>1</v>
      </c>
      <c r="AF65" s="40">
        <v>1</v>
      </c>
      <c r="AG65" s="40">
        <v>1</v>
      </c>
      <c r="AH65" s="40">
        <v>1</v>
      </c>
      <c r="AI65" s="40">
        <v>1</v>
      </c>
      <c r="AJ65" s="40">
        <v>1</v>
      </c>
      <c r="AK65" s="40">
        <v>1</v>
      </c>
      <c r="AL65" s="40"/>
      <c r="AM65" s="40"/>
      <c r="AN65" s="40"/>
      <c r="AO65" s="40"/>
      <c r="AP65" s="40"/>
      <c r="AQ65" s="40"/>
      <c r="AR65" s="40"/>
      <c r="AS65" s="40"/>
      <c r="AT65" s="40"/>
      <c r="AU65" s="40"/>
      <c r="AV65" s="40"/>
      <c r="AW65" s="40"/>
      <c r="AX65" s="46">
        <f t="shared" si="1"/>
        <v>15</v>
      </c>
      <c r="AY65" s="42">
        <f t="shared" si="2"/>
        <v>0</v>
      </c>
    </row>
    <row r="66" spans="1:51" x14ac:dyDescent="0.25">
      <c r="A66" s="38">
        <v>13</v>
      </c>
      <c r="B66" s="39" t="s">
        <v>77</v>
      </c>
      <c r="C66" s="40" t="s">
        <v>78</v>
      </c>
      <c r="D66" s="40" t="s">
        <v>55</v>
      </c>
      <c r="E66" s="40" t="s">
        <v>55</v>
      </c>
      <c r="F66" s="40" t="s">
        <v>55</v>
      </c>
      <c r="G66" s="38">
        <v>5</v>
      </c>
      <c r="H66" s="40">
        <v>18487.39</v>
      </c>
      <c r="I66" s="40">
        <v>0</v>
      </c>
      <c r="J66" s="41" t="str" cm="1">
        <f t="array" ref="J66">IF($V66="","",IFERROR(INDEX(Articulacion!G:G,$V66),0))</f>
        <v/>
      </c>
      <c r="K66" s="41" t="str" cm="1">
        <f t="array" ref="K66">IF($V66="","",IFERROR(INDEX(Articulacion!H:H,$V66),0))</f>
        <v/>
      </c>
      <c r="L66" s="41" t="str" cm="1">
        <f t="array" ref="L66">IF($V66="","",IFERROR(INDEX(Articulacion!I:I,$V66),0))</f>
        <v/>
      </c>
      <c r="M66" s="41" t="str" cm="1">
        <f t="array" ref="M66">IF($V66="","",IFERROR(INDEX(Articulacion!J:J,$V66),0))</f>
        <v/>
      </c>
      <c r="N66" s="41" t="str" cm="1">
        <f t="array" ref="N66">IF($V66="","",IFERROR(INDEX(Articulacion!K:K,$V66),0))</f>
        <v/>
      </c>
      <c r="O66" s="41" t="str" cm="1">
        <f t="array" ref="O66">IF($V66="","",IFERROR(INDEX(Articulacion!L:L,$V66),0))</f>
        <v/>
      </c>
      <c r="P66" s="41" t="str" cm="1">
        <f t="array" ref="P66">IF($V66="","",IFERROR(INDEX(Articulacion!M:M,$V66),0))</f>
        <v/>
      </c>
      <c r="Q66" s="41" t="str" cm="1">
        <f t="array" ref="Q66">IF($V66="","",IFERROR(INDEX(Articulacion!N:N,$V66),0))</f>
        <v/>
      </c>
      <c r="R66" s="41" t="str" cm="1">
        <f t="array" ref="R66">IF($V66="","",IFERROR(INDEX(Articulacion!O:O,$V66),0))</f>
        <v/>
      </c>
      <c r="S66" s="41" t="str" cm="1">
        <f t="array" ref="S66">IF($V66="","",IFERROR(INDEX(Articulacion!P:P,$V66),0))</f>
        <v/>
      </c>
      <c r="T66" s="41" t="str" cm="1">
        <f t="array" ref="T66">IF($V66="","",IFERROR(INDEX(Articulacion!Q:Q,$V66),0))</f>
        <v/>
      </c>
      <c r="U66" s="48">
        <f t="shared" si="3"/>
        <v>0</v>
      </c>
      <c r="V66" s="49"/>
      <c r="W66" s="40"/>
      <c r="X66" s="40"/>
      <c r="Y66" s="40"/>
      <c r="Z66" s="40"/>
      <c r="AA66" s="40"/>
      <c r="AB66" s="40"/>
      <c r="AC66" s="40"/>
      <c r="AD66" s="40"/>
      <c r="AE66" s="40"/>
      <c r="AF66" s="40"/>
      <c r="AG66" s="40"/>
      <c r="AH66" s="40"/>
      <c r="AI66" s="40"/>
      <c r="AJ66" s="40"/>
      <c r="AK66" s="40"/>
      <c r="AL66" s="40"/>
      <c r="AM66" s="40"/>
      <c r="AN66" s="40"/>
      <c r="AO66" s="40"/>
      <c r="AP66" s="40"/>
      <c r="AQ66" s="40">
        <v>3</v>
      </c>
      <c r="AR66" s="40">
        <v>2</v>
      </c>
      <c r="AS66" s="40"/>
      <c r="AT66" s="40"/>
      <c r="AU66" s="40"/>
      <c r="AV66" s="40"/>
      <c r="AW66" s="40"/>
      <c r="AX66" s="46">
        <f t="shared" si="1"/>
        <v>5</v>
      </c>
      <c r="AY66" s="42">
        <f t="shared" si="2"/>
        <v>0</v>
      </c>
    </row>
    <row r="67" spans="1:51" x14ac:dyDescent="0.25">
      <c r="A67" s="38">
        <v>47</v>
      </c>
      <c r="B67" s="39" t="s">
        <v>142</v>
      </c>
      <c r="C67" s="40" t="s">
        <v>143</v>
      </c>
      <c r="D67" s="40" t="s">
        <v>55</v>
      </c>
      <c r="E67" s="40" t="s">
        <v>55</v>
      </c>
      <c r="F67" s="40" t="s">
        <v>55</v>
      </c>
      <c r="G67" s="38">
        <v>12</v>
      </c>
      <c r="H67" s="40">
        <v>11764.71</v>
      </c>
      <c r="I67" s="40">
        <v>0</v>
      </c>
      <c r="J67" s="41" t="str" cm="1">
        <f t="array" ref="J67">IF($V67="","",IFERROR(INDEX(Articulacion!G:G,$V67),0))</f>
        <v/>
      </c>
      <c r="K67" s="41" t="str" cm="1">
        <f t="array" ref="K67">IF($V67="","",IFERROR(INDEX(Articulacion!H:H,$V67),0))</f>
        <v/>
      </c>
      <c r="L67" s="41" t="str" cm="1">
        <f t="array" ref="L67">IF($V67="","",IFERROR(INDEX(Articulacion!I:I,$V67),0))</f>
        <v/>
      </c>
      <c r="M67" s="41" t="str" cm="1">
        <f t="array" ref="M67">IF($V67="","",IFERROR(INDEX(Articulacion!J:J,$V67),0))</f>
        <v/>
      </c>
      <c r="N67" s="41" t="str" cm="1">
        <f t="array" ref="N67">IF($V67="","",IFERROR(INDEX(Articulacion!K:K,$V67),0))</f>
        <v/>
      </c>
      <c r="O67" s="41" t="str" cm="1">
        <f t="array" ref="O67">IF($V67="","",IFERROR(INDEX(Articulacion!L:L,$V67),0))</f>
        <v/>
      </c>
      <c r="P67" s="41" t="str" cm="1">
        <f t="array" ref="P67">IF($V67="","",IFERROR(INDEX(Articulacion!M:M,$V67),0))</f>
        <v/>
      </c>
      <c r="Q67" s="41" t="str" cm="1">
        <f t="array" ref="Q67">IF($V67="","",IFERROR(INDEX(Articulacion!N:N,$V67),0))</f>
        <v/>
      </c>
      <c r="R67" s="41" t="str" cm="1">
        <f t="array" ref="R67">IF($V67="","",IFERROR(INDEX(Articulacion!O:O,$V67),0))</f>
        <v/>
      </c>
      <c r="S67" s="41" t="str" cm="1">
        <f t="array" ref="S67">IF($V67="","",IFERROR(INDEX(Articulacion!P:P,$V67),0))</f>
        <v/>
      </c>
      <c r="T67" s="41" t="str" cm="1">
        <f t="array" ref="T67">IF($V67="","",IFERROR(INDEX(Articulacion!Q:Q,$V67),0))</f>
        <v/>
      </c>
      <c r="U67" s="48">
        <f t="shared" ref="U67:U96" si="4">IF($V67="",0,SUM(J67:T67))</f>
        <v>0</v>
      </c>
      <c r="V67" s="49"/>
      <c r="W67" s="40"/>
      <c r="X67" s="40"/>
      <c r="Y67" s="40">
        <v>1</v>
      </c>
      <c r="Z67" s="40">
        <v>1</v>
      </c>
      <c r="AA67" s="40">
        <v>1</v>
      </c>
      <c r="AB67" s="40">
        <v>1</v>
      </c>
      <c r="AC67" s="40">
        <v>1</v>
      </c>
      <c r="AD67" s="40">
        <v>1</v>
      </c>
      <c r="AE67" s="40">
        <v>1</v>
      </c>
      <c r="AF67" s="40">
        <v>1</v>
      </c>
      <c r="AG67" s="40">
        <v>1</v>
      </c>
      <c r="AH67" s="40">
        <v>1</v>
      </c>
      <c r="AI67" s="40">
        <v>1</v>
      </c>
      <c r="AJ67" s="40">
        <v>1</v>
      </c>
      <c r="AK67" s="40"/>
      <c r="AL67" s="40"/>
      <c r="AM67" s="40"/>
      <c r="AN67" s="40"/>
      <c r="AO67" s="40"/>
      <c r="AP67" s="40"/>
      <c r="AQ67" s="40"/>
      <c r="AR67" s="40"/>
      <c r="AS67" s="40"/>
      <c r="AT67" s="40"/>
      <c r="AU67" s="40"/>
      <c r="AV67" s="40"/>
      <c r="AW67" s="40"/>
      <c r="AX67" s="46">
        <f t="shared" si="1"/>
        <v>12</v>
      </c>
      <c r="AY67" s="42">
        <f t="shared" si="2"/>
        <v>0</v>
      </c>
    </row>
    <row r="68" spans="1:51" x14ac:dyDescent="0.25">
      <c r="A68" s="38">
        <v>46</v>
      </c>
      <c r="B68" s="39" t="s">
        <v>140</v>
      </c>
      <c r="C68" s="40" t="s">
        <v>141</v>
      </c>
      <c r="D68" s="40" t="s">
        <v>55</v>
      </c>
      <c r="E68" s="40" t="s">
        <v>55</v>
      </c>
      <c r="F68" s="40" t="s">
        <v>55</v>
      </c>
      <c r="G68" s="38">
        <v>10</v>
      </c>
      <c r="H68" s="40">
        <v>23529.41</v>
      </c>
      <c r="I68" s="40">
        <v>0</v>
      </c>
      <c r="J68" s="41" t="str" cm="1">
        <f t="array" ref="J68">IF($V68="","",IFERROR(INDEX(Articulacion!G:G,$V68),0))</f>
        <v/>
      </c>
      <c r="K68" s="41" t="str" cm="1">
        <f t="array" ref="K68">IF($V68="","",IFERROR(INDEX(Articulacion!H:H,$V68),0))</f>
        <v/>
      </c>
      <c r="L68" s="41" t="str" cm="1">
        <f t="array" ref="L68">IF($V68="","",IFERROR(INDEX(Articulacion!I:I,$V68),0))</f>
        <v/>
      </c>
      <c r="M68" s="41" t="str" cm="1">
        <f t="array" ref="M68">IF($V68="","",IFERROR(INDEX(Articulacion!J:J,$V68),0))</f>
        <v/>
      </c>
      <c r="N68" s="41" t="str" cm="1">
        <f t="array" ref="N68">IF($V68="","",IFERROR(INDEX(Articulacion!K:K,$V68),0))</f>
        <v/>
      </c>
      <c r="O68" s="41" t="str" cm="1">
        <f t="array" ref="O68">IF($V68="","",IFERROR(INDEX(Articulacion!L:L,$V68),0))</f>
        <v/>
      </c>
      <c r="P68" s="41" t="str" cm="1">
        <f t="array" ref="P68">IF($V68="","",IFERROR(INDEX(Articulacion!M:M,$V68),0))</f>
        <v/>
      </c>
      <c r="Q68" s="41" t="str" cm="1">
        <f t="array" ref="Q68">IF($V68="","",IFERROR(INDEX(Articulacion!N:N,$V68),0))</f>
        <v/>
      </c>
      <c r="R68" s="41" t="str" cm="1">
        <f t="array" ref="R68">IF($V68="","",IFERROR(INDEX(Articulacion!O:O,$V68),0))</f>
        <v/>
      </c>
      <c r="S68" s="41" t="str" cm="1">
        <f t="array" ref="S68">IF($V68="","",IFERROR(INDEX(Articulacion!P:P,$V68),0))</f>
        <v/>
      </c>
      <c r="T68" s="41" t="str" cm="1">
        <f t="array" ref="T68">IF($V68="","",IFERROR(INDEX(Articulacion!Q:Q,$V68),0))</f>
        <v/>
      </c>
      <c r="U68" s="48">
        <f t="shared" si="4"/>
        <v>0</v>
      </c>
      <c r="V68" s="49"/>
      <c r="W68" s="41"/>
      <c r="X68" s="41"/>
      <c r="Y68" s="41"/>
      <c r="Z68" s="41"/>
      <c r="AA68" s="41"/>
      <c r="AB68" s="41"/>
      <c r="AC68" s="41"/>
      <c r="AD68" s="41"/>
      <c r="AE68" s="41"/>
      <c r="AF68" s="41"/>
      <c r="AG68" s="41"/>
      <c r="AH68" s="41"/>
      <c r="AI68" s="41"/>
      <c r="AJ68" s="41"/>
      <c r="AK68" s="41">
        <v>1</v>
      </c>
      <c r="AL68" s="41">
        <v>1</v>
      </c>
      <c r="AM68" s="41">
        <v>1</v>
      </c>
      <c r="AN68" s="41">
        <v>2</v>
      </c>
      <c r="AO68" s="41">
        <v>1</v>
      </c>
      <c r="AP68" s="41">
        <v>1</v>
      </c>
      <c r="AQ68" s="41">
        <v>1</v>
      </c>
      <c r="AR68" s="41">
        <v>1</v>
      </c>
      <c r="AS68" s="41">
        <v>1</v>
      </c>
      <c r="AT68" s="41"/>
      <c r="AU68" s="41"/>
      <c r="AV68" s="41"/>
      <c r="AW68" s="41"/>
      <c r="AX68" s="46">
        <f t="shared" ref="AX68:AX96" si="5">SUM(W68:AW68)</f>
        <v>10</v>
      </c>
      <c r="AY68" s="42">
        <f t="shared" ref="AY68:AY98" si="6">G68-U68-AX68</f>
        <v>0</v>
      </c>
    </row>
    <row r="69" spans="1:51" x14ac:dyDescent="0.25">
      <c r="A69" s="38">
        <v>45</v>
      </c>
      <c r="B69" s="39" t="s">
        <v>138</v>
      </c>
      <c r="C69" s="40" t="s">
        <v>139</v>
      </c>
      <c r="D69" s="40" t="s">
        <v>55</v>
      </c>
      <c r="E69" s="40" t="s">
        <v>55</v>
      </c>
      <c r="F69" s="40" t="s">
        <v>55</v>
      </c>
      <c r="G69" s="38">
        <v>3</v>
      </c>
      <c r="H69" s="40">
        <v>201680.67</v>
      </c>
      <c r="I69" s="40">
        <v>0</v>
      </c>
      <c r="J69" s="41" t="str" cm="1">
        <f t="array" ref="J69">IF($V69="","",IFERROR(INDEX(Articulacion!G:G,$V69),0))</f>
        <v/>
      </c>
      <c r="K69" s="41" t="str" cm="1">
        <f t="array" ref="K69">IF($V69="","",IFERROR(INDEX(Articulacion!H:H,$V69),0))</f>
        <v/>
      </c>
      <c r="L69" s="41" t="str" cm="1">
        <f t="array" ref="L69">IF($V69="","",IFERROR(INDEX(Articulacion!I:I,$V69),0))</f>
        <v/>
      </c>
      <c r="M69" s="41" t="str" cm="1">
        <f t="array" ref="M69">IF($V69="","",IFERROR(INDEX(Articulacion!J:J,$V69),0))</f>
        <v/>
      </c>
      <c r="N69" s="41" t="str" cm="1">
        <f t="array" ref="N69">IF($V69="","",IFERROR(INDEX(Articulacion!K:K,$V69),0))</f>
        <v/>
      </c>
      <c r="O69" s="41" t="str" cm="1">
        <f t="array" ref="O69">IF($V69="","",IFERROR(INDEX(Articulacion!L:L,$V69),0))</f>
        <v/>
      </c>
      <c r="P69" s="41" t="str" cm="1">
        <f t="array" ref="P69">IF($V69="","",IFERROR(INDEX(Articulacion!M:M,$V69),0))</f>
        <v/>
      </c>
      <c r="Q69" s="41" t="str" cm="1">
        <f t="array" ref="Q69">IF($V69="","",IFERROR(INDEX(Articulacion!N:N,$V69),0))</f>
        <v/>
      </c>
      <c r="R69" s="41" t="str" cm="1">
        <f t="array" ref="R69">IF($V69="","",IFERROR(INDEX(Articulacion!O:O,$V69),0))</f>
        <v/>
      </c>
      <c r="S69" s="41" t="str" cm="1">
        <f t="array" ref="S69">IF($V69="","",IFERROR(INDEX(Articulacion!P:P,$V69),0))</f>
        <v/>
      </c>
      <c r="T69" s="41" t="str" cm="1">
        <f t="array" ref="T69">IF($V69="","",IFERROR(INDEX(Articulacion!Q:Q,$V69),0))</f>
        <v/>
      </c>
      <c r="U69" s="48">
        <f t="shared" si="4"/>
        <v>0</v>
      </c>
      <c r="V69" s="49"/>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v>1</v>
      </c>
      <c r="AU69" s="40">
        <v>1</v>
      </c>
      <c r="AV69" s="40">
        <v>1</v>
      </c>
      <c r="AW69" s="40"/>
      <c r="AX69" s="46">
        <f t="shared" si="5"/>
        <v>3</v>
      </c>
      <c r="AY69" s="42">
        <f t="shared" si="6"/>
        <v>0</v>
      </c>
    </row>
    <row r="70" spans="1:51" x14ac:dyDescent="0.25">
      <c r="A70" s="38">
        <v>44</v>
      </c>
      <c r="B70" s="39" t="s">
        <v>136</v>
      </c>
      <c r="C70" s="40" t="s">
        <v>137</v>
      </c>
      <c r="D70" s="40" t="s">
        <v>55</v>
      </c>
      <c r="E70" s="40" t="s">
        <v>55</v>
      </c>
      <c r="F70" s="40" t="s">
        <v>55</v>
      </c>
      <c r="G70" s="38">
        <v>25</v>
      </c>
      <c r="H70" s="40">
        <v>6722.69</v>
      </c>
      <c r="I70" s="40">
        <v>0</v>
      </c>
      <c r="J70" s="41" t="str" cm="1">
        <f t="array" ref="J70">IF($V70="","",IFERROR(INDEX(Articulacion!G:G,$V70),0))</f>
        <v/>
      </c>
      <c r="K70" s="41" t="str" cm="1">
        <f t="array" ref="K70">IF($V70="","",IFERROR(INDEX(Articulacion!H:H,$V70),0))</f>
        <v/>
      </c>
      <c r="L70" s="41" t="str" cm="1">
        <f t="array" ref="L70">IF($V70="","",IFERROR(INDEX(Articulacion!I:I,$V70),0))</f>
        <v/>
      </c>
      <c r="M70" s="41" t="str" cm="1">
        <f t="array" ref="M70">IF($V70="","",IFERROR(INDEX(Articulacion!J:J,$V70),0))</f>
        <v/>
      </c>
      <c r="N70" s="41" t="str" cm="1">
        <f t="array" ref="N70">IF($V70="","",IFERROR(INDEX(Articulacion!K:K,$V70),0))</f>
        <v/>
      </c>
      <c r="O70" s="41" t="str" cm="1">
        <f t="array" ref="O70">IF($V70="","",IFERROR(INDEX(Articulacion!L:L,$V70),0))</f>
        <v/>
      </c>
      <c r="P70" s="41" t="str" cm="1">
        <f t="array" ref="P70">IF($V70="","",IFERROR(INDEX(Articulacion!M:M,$V70),0))</f>
        <v/>
      </c>
      <c r="Q70" s="41" t="str" cm="1">
        <f t="array" ref="Q70">IF($V70="","",IFERROR(INDEX(Articulacion!N:N,$V70),0))</f>
        <v/>
      </c>
      <c r="R70" s="41" t="str" cm="1">
        <f t="array" ref="R70">IF($V70="","",IFERROR(INDEX(Articulacion!O:O,$V70),0))</f>
        <v/>
      </c>
      <c r="S70" s="41" t="str" cm="1">
        <f t="array" ref="S70">IF($V70="","",IFERROR(INDEX(Articulacion!P:P,$V70),0))</f>
        <v/>
      </c>
      <c r="T70" s="41" t="str" cm="1">
        <f t="array" ref="T70">IF($V70="","",IFERROR(INDEX(Articulacion!Q:Q,$V70),0))</f>
        <v/>
      </c>
      <c r="U70" s="48">
        <f t="shared" si="4"/>
        <v>0</v>
      </c>
      <c r="V70" s="49"/>
      <c r="W70" s="40">
        <v>1</v>
      </c>
      <c r="X70" s="40">
        <v>1</v>
      </c>
      <c r="Y70" s="40">
        <v>1</v>
      </c>
      <c r="Z70" s="40">
        <v>1</v>
      </c>
      <c r="AA70" s="40">
        <v>1</v>
      </c>
      <c r="AB70" s="40">
        <v>1</v>
      </c>
      <c r="AC70" s="40">
        <v>1</v>
      </c>
      <c r="AD70" s="40">
        <v>1</v>
      </c>
      <c r="AE70" s="40">
        <v>1</v>
      </c>
      <c r="AF70" s="40">
        <v>1</v>
      </c>
      <c r="AG70" s="40">
        <v>1</v>
      </c>
      <c r="AH70" s="40">
        <v>1</v>
      </c>
      <c r="AI70" s="40">
        <v>1</v>
      </c>
      <c r="AJ70" s="40">
        <v>1</v>
      </c>
      <c r="AK70" s="40">
        <v>1</v>
      </c>
      <c r="AL70" s="40">
        <v>1</v>
      </c>
      <c r="AM70" s="40">
        <v>1</v>
      </c>
      <c r="AN70" s="40">
        <v>2</v>
      </c>
      <c r="AO70" s="40">
        <v>1</v>
      </c>
      <c r="AP70" s="40">
        <v>1</v>
      </c>
      <c r="AQ70" s="40">
        <v>1</v>
      </c>
      <c r="AR70" s="40">
        <v>1</v>
      </c>
      <c r="AS70" s="40">
        <v>1</v>
      </c>
      <c r="AT70" s="40">
        <v>1</v>
      </c>
      <c r="AU70" s="40"/>
      <c r="AV70" s="40"/>
      <c r="AW70" s="40"/>
      <c r="AX70" s="46">
        <f t="shared" si="5"/>
        <v>25</v>
      </c>
      <c r="AY70" s="42">
        <f t="shared" si="6"/>
        <v>0</v>
      </c>
    </row>
    <row r="71" spans="1:51" x14ac:dyDescent="0.25">
      <c r="A71" s="38">
        <v>85</v>
      </c>
      <c r="B71" s="39" t="s">
        <v>215</v>
      </c>
      <c r="C71" s="40" t="s">
        <v>216</v>
      </c>
      <c r="D71" s="40" t="s">
        <v>55</v>
      </c>
      <c r="E71" s="40" t="s">
        <v>55</v>
      </c>
      <c r="F71" s="40" t="s">
        <v>55</v>
      </c>
      <c r="G71" s="38">
        <v>10</v>
      </c>
      <c r="H71" s="40">
        <v>68907.56</v>
      </c>
      <c r="I71" s="40">
        <v>0</v>
      </c>
      <c r="J71" s="41" t="str" cm="1">
        <f t="array" ref="J71">IF($V71="","",IFERROR(INDEX(Articulacion!G:G,$V71),0))</f>
        <v/>
      </c>
      <c r="K71" s="41" t="str" cm="1">
        <f t="array" ref="K71">IF($V71="","",IFERROR(INDEX(Articulacion!H:H,$V71),0))</f>
        <v/>
      </c>
      <c r="L71" s="41" t="str" cm="1">
        <f t="array" ref="L71">IF($V71="","",IFERROR(INDEX(Articulacion!I:I,$V71),0))</f>
        <v/>
      </c>
      <c r="M71" s="41" t="str" cm="1">
        <f t="array" ref="M71">IF($V71="","",IFERROR(INDEX(Articulacion!J:J,$V71),0))</f>
        <v/>
      </c>
      <c r="N71" s="41" t="str" cm="1">
        <f t="array" ref="N71">IF($V71="","",IFERROR(INDEX(Articulacion!K:K,$V71),0))</f>
        <v/>
      </c>
      <c r="O71" s="41" t="str" cm="1">
        <f t="array" ref="O71">IF($V71="","",IFERROR(INDEX(Articulacion!L:L,$V71),0))</f>
        <v/>
      </c>
      <c r="P71" s="41" t="str" cm="1">
        <f t="array" ref="P71">IF($V71="","",IFERROR(INDEX(Articulacion!M:M,$V71),0))</f>
        <v/>
      </c>
      <c r="Q71" s="41" t="str" cm="1">
        <f t="array" ref="Q71">IF($V71="","",IFERROR(INDEX(Articulacion!N:N,$V71),0))</f>
        <v/>
      </c>
      <c r="R71" s="41" t="str" cm="1">
        <f t="array" ref="R71">IF($V71="","",IFERROR(INDEX(Articulacion!O:O,$V71),0))</f>
        <v/>
      </c>
      <c r="S71" s="41" t="str" cm="1">
        <f t="array" ref="S71">IF($V71="","",IFERROR(INDEX(Articulacion!P:P,$V71),0))</f>
        <v/>
      </c>
      <c r="T71" s="41" t="str" cm="1">
        <f t="array" ref="T71">IF($V71="","",IFERROR(INDEX(Articulacion!Q:Q,$V71),0))</f>
        <v/>
      </c>
      <c r="U71" s="48">
        <f t="shared" si="4"/>
        <v>0</v>
      </c>
      <c r="V71" s="49"/>
      <c r="W71" s="40">
        <v>1</v>
      </c>
      <c r="X71" s="40">
        <v>1</v>
      </c>
      <c r="Y71" s="40">
        <v>1</v>
      </c>
      <c r="Z71" s="40">
        <v>1</v>
      </c>
      <c r="AA71" s="40">
        <v>1</v>
      </c>
      <c r="AB71" s="40">
        <v>1</v>
      </c>
      <c r="AC71" s="40">
        <v>1</v>
      </c>
      <c r="AD71" s="40">
        <v>1</v>
      </c>
      <c r="AE71" s="40">
        <v>1</v>
      </c>
      <c r="AF71" s="40">
        <v>1</v>
      </c>
      <c r="AG71" s="40"/>
      <c r="AH71" s="40"/>
      <c r="AI71" s="40"/>
      <c r="AJ71" s="40"/>
      <c r="AK71" s="40"/>
      <c r="AL71" s="40"/>
      <c r="AM71" s="40"/>
      <c r="AN71" s="40"/>
      <c r="AO71" s="40"/>
      <c r="AP71" s="40"/>
      <c r="AQ71" s="40"/>
      <c r="AR71" s="40"/>
      <c r="AS71" s="40"/>
      <c r="AT71" s="40"/>
      <c r="AU71" s="40"/>
      <c r="AV71" s="40"/>
      <c r="AW71" s="40"/>
      <c r="AX71" s="46">
        <f t="shared" si="5"/>
        <v>10</v>
      </c>
      <c r="AY71" s="42">
        <f t="shared" si="6"/>
        <v>0</v>
      </c>
    </row>
    <row r="72" spans="1:51" x14ac:dyDescent="0.25">
      <c r="A72" s="38">
        <v>31</v>
      </c>
      <c r="B72" s="39" t="s">
        <v>111</v>
      </c>
      <c r="C72" s="40" t="s">
        <v>112</v>
      </c>
      <c r="D72" s="40" t="s">
        <v>55</v>
      </c>
      <c r="E72" s="40" t="s">
        <v>55</v>
      </c>
      <c r="F72" s="40" t="s">
        <v>55</v>
      </c>
      <c r="G72" s="38">
        <v>10</v>
      </c>
      <c r="H72" s="40">
        <v>5882.35</v>
      </c>
      <c r="I72" s="40">
        <v>0</v>
      </c>
      <c r="J72" s="41" t="str" cm="1">
        <f t="array" ref="J72">IF($V72="","",IFERROR(INDEX(Articulacion!G:G,$V72),0))</f>
        <v/>
      </c>
      <c r="K72" s="41" t="str" cm="1">
        <f t="array" ref="K72">IF($V72="","",IFERROR(INDEX(Articulacion!H:H,$V72),0))</f>
        <v/>
      </c>
      <c r="L72" s="41" t="str" cm="1">
        <f t="array" ref="L72">IF($V72="","",IFERROR(INDEX(Articulacion!I:I,$V72),0))</f>
        <v/>
      </c>
      <c r="M72" s="41" t="str" cm="1">
        <f t="array" ref="M72">IF($V72="","",IFERROR(INDEX(Articulacion!J:J,$V72),0))</f>
        <v/>
      </c>
      <c r="N72" s="41" t="str" cm="1">
        <f t="array" ref="N72">IF($V72="","",IFERROR(INDEX(Articulacion!K:K,$V72),0))</f>
        <v/>
      </c>
      <c r="O72" s="41" t="str" cm="1">
        <f t="array" ref="O72">IF($V72="","",IFERROR(INDEX(Articulacion!L:L,$V72),0))</f>
        <v/>
      </c>
      <c r="P72" s="41" t="str" cm="1">
        <f t="array" ref="P72">IF($V72="","",IFERROR(INDEX(Articulacion!M:M,$V72),0))</f>
        <v/>
      </c>
      <c r="Q72" s="41" t="str" cm="1">
        <f t="array" ref="Q72">IF($V72="","",IFERROR(INDEX(Articulacion!N:N,$V72),0))</f>
        <v/>
      </c>
      <c r="R72" s="41" t="str" cm="1">
        <f t="array" ref="R72">IF($V72="","",IFERROR(INDEX(Articulacion!O:O,$V72),0))</f>
        <v/>
      </c>
      <c r="S72" s="41" t="str" cm="1">
        <f t="array" ref="S72">IF($V72="","",IFERROR(INDEX(Articulacion!P:P,$V72),0))</f>
        <v/>
      </c>
      <c r="T72" s="41" t="str" cm="1">
        <f t="array" ref="T72">IF($V72="","",IFERROR(INDEX(Articulacion!Q:Q,$V72),0))</f>
        <v/>
      </c>
      <c r="U72" s="48">
        <f t="shared" si="4"/>
        <v>0</v>
      </c>
      <c r="V72" s="49"/>
      <c r="W72" s="40"/>
      <c r="X72" s="40"/>
      <c r="Y72" s="40"/>
      <c r="Z72" s="40"/>
      <c r="AA72" s="40">
        <v>1</v>
      </c>
      <c r="AB72" s="40">
        <v>1</v>
      </c>
      <c r="AC72" s="40">
        <v>1</v>
      </c>
      <c r="AD72" s="40">
        <v>1</v>
      </c>
      <c r="AE72" s="40">
        <v>1</v>
      </c>
      <c r="AF72" s="40">
        <v>1</v>
      </c>
      <c r="AG72" s="40">
        <v>1</v>
      </c>
      <c r="AH72" s="40">
        <v>1</v>
      </c>
      <c r="AI72" s="40">
        <v>1</v>
      </c>
      <c r="AJ72" s="40">
        <v>1</v>
      </c>
      <c r="AK72" s="40"/>
      <c r="AL72" s="40"/>
      <c r="AM72" s="40"/>
      <c r="AN72" s="40"/>
      <c r="AO72" s="40"/>
      <c r="AP72" s="40"/>
      <c r="AQ72" s="40"/>
      <c r="AR72" s="40"/>
      <c r="AS72" s="40"/>
      <c r="AT72" s="40"/>
      <c r="AU72" s="40"/>
      <c r="AV72" s="40"/>
      <c r="AW72" s="40"/>
      <c r="AX72" s="46">
        <f t="shared" si="5"/>
        <v>10</v>
      </c>
      <c r="AY72" s="42">
        <f t="shared" si="6"/>
        <v>0</v>
      </c>
    </row>
    <row r="73" spans="1:51" x14ac:dyDescent="0.25">
      <c r="A73" s="38">
        <v>30</v>
      </c>
      <c r="B73" s="39" t="s">
        <v>109</v>
      </c>
      <c r="C73" s="40" t="s">
        <v>110</v>
      </c>
      <c r="D73" s="40" t="s">
        <v>55</v>
      </c>
      <c r="E73" s="40" t="s">
        <v>55</v>
      </c>
      <c r="F73" s="40" t="s">
        <v>55</v>
      </c>
      <c r="G73" s="38">
        <v>10</v>
      </c>
      <c r="H73" s="40">
        <v>5882.35</v>
      </c>
      <c r="I73" s="40">
        <v>0</v>
      </c>
      <c r="J73" s="41" t="str" cm="1">
        <f t="array" ref="J73">IF($V73="","",IFERROR(INDEX(Articulacion!G:G,$V73),0))</f>
        <v/>
      </c>
      <c r="K73" s="41" t="str" cm="1">
        <f t="array" ref="K73">IF($V73="","",IFERROR(INDEX(Articulacion!H:H,$V73),0))</f>
        <v/>
      </c>
      <c r="L73" s="41" t="str" cm="1">
        <f t="array" ref="L73">IF($V73="","",IFERROR(INDEX(Articulacion!I:I,$V73),0))</f>
        <v/>
      </c>
      <c r="M73" s="41" t="str" cm="1">
        <f t="array" ref="M73">IF($V73="","",IFERROR(INDEX(Articulacion!J:J,$V73),0))</f>
        <v/>
      </c>
      <c r="N73" s="41" t="str" cm="1">
        <f t="array" ref="N73">IF($V73="","",IFERROR(INDEX(Articulacion!K:K,$V73),0))</f>
        <v/>
      </c>
      <c r="O73" s="41" t="str" cm="1">
        <f t="array" ref="O73">IF($V73="","",IFERROR(INDEX(Articulacion!L:L,$V73),0))</f>
        <v/>
      </c>
      <c r="P73" s="41" t="str" cm="1">
        <f t="array" ref="P73">IF($V73="","",IFERROR(INDEX(Articulacion!M:M,$V73),0))</f>
        <v/>
      </c>
      <c r="Q73" s="41" t="str" cm="1">
        <f t="array" ref="Q73">IF($V73="","",IFERROR(INDEX(Articulacion!N:N,$V73),0))</f>
        <v/>
      </c>
      <c r="R73" s="41" t="str" cm="1">
        <f t="array" ref="R73">IF($V73="","",IFERROR(INDEX(Articulacion!O:O,$V73),0))</f>
        <v/>
      </c>
      <c r="S73" s="41" t="str" cm="1">
        <f t="array" ref="S73">IF($V73="","",IFERROR(INDEX(Articulacion!P:P,$V73),0))</f>
        <v/>
      </c>
      <c r="T73" s="41" t="str" cm="1">
        <f t="array" ref="T73">IF($V73="","",IFERROR(INDEX(Articulacion!Q:Q,$V73),0))</f>
        <v/>
      </c>
      <c r="U73" s="48">
        <f t="shared" si="4"/>
        <v>0</v>
      </c>
      <c r="V73" s="49"/>
      <c r="W73" s="40"/>
      <c r="X73" s="40"/>
      <c r="Y73" s="40"/>
      <c r="Z73" s="40"/>
      <c r="AA73" s="40"/>
      <c r="AB73" s="40"/>
      <c r="AC73" s="40"/>
      <c r="AD73" s="40"/>
      <c r="AE73" s="40"/>
      <c r="AF73" s="40"/>
      <c r="AG73" s="40"/>
      <c r="AH73" s="40"/>
      <c r="AI73" s="40"/>
      <c r="AJ73" s="40"/>
      <c r="AK73" s="40">
        <v>1</v>
      </c>
      <c r="AL73" s="40">
        <v>1</v>
      </c>
      <c r="AM73" s="40">
        <v>1</v>
      </c>
      <c r="AN73" s="40">
        <v>2</v>
      </c>
      <c r="AO73" s="40">
        <v>1</v>
      </c>
      <c r="AP73" s="40">
        <v>1</v>
      </c>
      <c r="AQ73" s="40">
        <v>1</v>
      </c>
      <c r="AR73" s="40">
        <v>1</v>
      </c>
      <c r="AS73" s="40">
        <v>1</v>
      </c>
      <c r="AT73" s="40"/>
      <c r="AU73" s="40"/>
      <c r="AV73" s="40"/>
      <c r="AW73" s="40"/>
      <c r="AX73" s="46">
        <f t="shared" si="5"/>
        <v>10</v>
      </c>
      <c r="AY73" s="42">
        <f t="shared" si="6"/>
        <v>0</v>
      </c>
    </row>
    <row r="74" spans="1:51" x14ac:dyDescent="0.25">
      <c r="A74" s="38">
        <v>86</v>
      </c>
      <c r="B74" s="39" t="s">
        <v>217</v>
      </c>
      <c r="C74" s="40" t="s">
        <v>218</v>
      </c>
      <c r="D74" s="40" t="s">
        <v>55</v>
      </c>
      <c r="E74" s="40" t="s">
        <v>55</v>
      </c>
      <c r="F74" s="40" t="s">
        <v>55</v>
      </c>
      <c r="G74" s="38">
        <v>12</v>
      </c>
      <c r="H74" s="40">
        <v>15126.05</v>
      </c>
      <c r="I74" s="40">
        <v>0</v>
      </c>
      <c r="J74" s="41" t="str" cm="1">
        <f t="array" ref="J74">IF($V74="","",IFERROR(INDEX(Articulacion!G:G,$V74),0))</f>
        <v/>
      </c>
      <c r="K74" s="41" t="str" cm="1">
        <f t="array" ref="K74">IF($V74="","",IFERROR(INDEX(Articulacion!H:H,$V74),0))</f>
        <v/>
      </c>
      <c r="L74" s="41" t="str" cm="1">
        <f t="array" ref="L74">IF($V74="","",IFERROR(INDEX(Articulacion!I:I,$V74),0))</f>
        <v/>
      </c>
      <c r="M74" s="41" t="str" cm="1">
        <f t="array" ref="M74">IF($V74="","",IFERROR(INDEX(Articulacion!J:J,$V74),0))</f>
        <v/>
      </c>
      <c r="N74" s="41" t="str" cm="1">
        <f t="array" ref="N74">IF($V74="","",IFERROR(INDEX(Articulacion!K:K,$V74),0))</f>
        <v/>
      </c>
      <c r="O74" s="41" t="str" cm="1">
        <f t="array" ref="O74">IF($V74="","",IFERROR(INDEX(Articulacion!L:L,$V74),0))</f>
        <v/>
      </c>
      <c r="P74" s="41" t="str" cm="1">
        <f t="array" ref="P74">IF($V74="","",IFERROR(INDEX(Articulacion!M:M,$V74),0))</f>
        <v/>
      </c>
      <c r="Q74" s="41" t="str" cm="1">
        <f t="array" ref="Q74">IF($V74="","",IFERROR(INDEX(Articulacion!N:N,$V74),0))</f>
        <v/>
      </c>
      <c r="R74" s="41" t="str" cm="1">
        <f t="array" ref="R74">IF($V74="","",IFERROR(INDEX(Articulacion!O:O,$V74),0))</f>
        <v/>
      </c>
      <c r="S74" s="41" t="str" cm="1">
        <f t="array" ref="S74">IF($V74="","",IFERROR(INDEX(Articulacion!P:P,$V74),0))</f>
        <v/>
      </c>
      <c r="T74" s="41" t="str" cm="1">
        <f t="array" ref="T74">IF($V74="","",IFERROR(INDEX(Articulacion!Q:Q,$V74),0))</f>
        <v/>
      </c>
      <c r="U74" s="48">
        <f t="shared" si="4"/>
        <v>0</v>
      </c>
      <c r="V74" s="49"/>
      <c r="W74" s="40"/>
      <c r="X74" s="40"/>
      <c r="Y74" s="40"/>
      <c r="Z74" s="40"/>
      <c r="AA74" s="40"/>
      <c r="AB74" s="40"/>
      <c r="AC74" s="40"/>
      <c r="AD74" s="40"/>
      <c r="AE74" s="40"/>
      <c r="AF74" s="40"/>
      <c r="AG74" s="40"/>
      <c r="AH74" s="40"/>
      <c r="AI74" s="40"/>
      <c r="AJ74" s="40"/>
      <c r="AK74" s="40"/>
      <c r="AL74" s="40"/>
      <c r="AM74" s="40">
        <v>1</v>
      </c>
      <c r="AN74" s="40">
        <v>2</v>
      </c>
      <c r="AO74" s="40">
        <v>1</v>
      </c>
      <c r="AP74" s="40">
        <v>1</v>
      </c>
      <c r="AQ74" s="40">
        <v>1</v>
      </c>
      <c r="AR74" s="40">
        <v>1</v>
      </c>
      <c r="AS74" s="40">
        <v>1</v>
      </c>
      <c r="AT74" s="40">
        <v>1</v>
      </c>
      <c r="AU74" s="40">
        <v>1</v>
      </c>
      <c r="AV74" s="40">
        <v>1</v>
      </c>
      <c r="AW74" s="40">
        <v>1</v>
      </c>
      <c r="AX74" s="46">
        <f t="shared" si="5"/>
        <v>12</v>
      </c>
      <c r="AY74" s="42">
        <f t="shared" si="6"/>
        <v>0</v>
      </c>
    </row>
    <row r="75" spans="1:51" x14ac:dyDescent="0.25">
      <c r="A75" s="38">
        <v>43</v>
      </c>
      <c r="B75" s="39" t="s">
        <v>134</v>
      </c>
      <c r="C75" s="40" t="s">
        <v>135</v>
      </c>
      <c r="D75" s="40" t="s">
        <v>55</v>
      </c>
      <c r="E75" s="40" t="s">
        <v>55</v>
      </c>
      <c r="F75" s="40" t="s">
        <v>55</v>
      </c>
      <c r="G75" s="38">
        <v>5</v>
      </c>
      <c r="H75" s="40">
        <v>25210.080000000002</v>
      </c>
      <c r="I75" s="40">
        <v>0</v>
      </c>
      <c r="J75" s="41" t="str" cm="1">
        <f t="array" ref="J75">IF($V75="","",IFERROR(INDEX(Articulacion!G:G,$V75),0))</f>
        <v/>
      </c>
      <c r="K75" s="41" t="str" cm="1">
        <f t="array" ref="K75">IF($V75="","",IFERROR(INDEX(Articulacion!H:H,$V75),0))</f>
        <v/>
      </c>
      <c r="L75" s="41" t="str" cm="1">
        <f t="array" ref="L75">IF($V75="","",IFERROR(INDEX(Articulacion!I:I,$V75),0))</f>
        <v/>
      </c>
      <c r="M75" s="41" t="str" cm="1">
        <f t="array" ref="M75">IF($V75="","",IFERROR(INDEX(Articulacion!J:J,$V75),0))</f>
        <v/>
      </c>
      <c r="N75" s="41" t="str" cm="1">
        <f t="array" ref="N75">IF($V75="","",IFERROR(INDEX(Articulacion!K:K,$V75),0))</f>
        <v/>
      </c>
      <c r="O75" s="41" t="str" cm="1">
        <f t="array" ref="O75">IF($V75="","",IFERROR(INDEX(Articulacion!L:L,$V75),0))</f>
        <v/>
      </c>
      <c r="P75" s="41" t="str" cm="1">
        <f t="array" ref="P75">IF($V75="","",IFERROR(INDEX(Articulacion!M:M,$V75),0))</f>
        <v/>
      </c>
      <c r="Q75" s="41" t="str" cm="1">
        <f t="array" ref="Q75">IF($V75="","",IFERROR(INDEX(Articulacion!N:N,$V75),0))</f>
        <v/>
      </c>
      <c r="R75" s="41" t="str" cm="1">
        <f t="array" ref="R75">IF($V75="","",IFERROR(INDEX(Articulacion!O:O,$V75),0))</f>
        <v/>
      </c>
      <c r="S75" s="41" t="str" cm="1">
        <f t="array" ref="S75">IF($V75="","",IFERROR(INDEX(Articulacion!P:P,$V75),0))</f>
        <v/>
      </c>
      <c r="T75" s="41" t="str" cm="1">
        <f t="array" ref="T75">IF($V75="","",IFERROR(INDEX(Articulacion!Q:Q,$V75),0))</f>
        <v/>
      </c>
      <c r="U75" s="48">
        <f t="shared" si="4"/>
        <v>0</v>
      </c>
      <c r="V75" s="49"/>
      <c r="W75" s="41"/>
      <c r="X75" s="41"/>
      <c r="Y75" s="41"/>
      <c r="Z75" s="41"/>
      <c r="AA75" s="41"/>
      <c r="AB75" s="41"/>
      <c r="AC75" s="41"/>
      <c r="AD75" s="41"/>
      <c r="AE75" s="41"/>
      <c r="AF75" s="41"/>
      <c r="AG75" s="41"/>
      <c r="AH75" s="41"/>
      <c r="AI75" s="41"/>
      <c r="AJ75" s="41"/>
      <c r="AK75" s="41"/>
      <c r="AL75" s="41"/>
      <c r="AM75" s="41"/>
      <c r="AN75" s="41"/>
      <c r="AO75" s="41"/>
      <c r="AP75" s="41"/>
      <c r="AQ75" s="41"/>
      <c r="AR75" s="41"/>
      <c r="AS75" s="41">
        <v>1</v>
      </c>
      <c r="AT75" s="41">
        <v>1</v>
      </c>
      <c r="AU75" s="41">
        <v>1</v>
      </c>
      <c r="AV75" s="41">
        <v>1</v>
      </c>
      <c r="AW75" s="41">
        <v>1</v>
      </c>
      <c r="AX75" s="46">
        <f t="shared" si="5"/>
        <v>5</v>
      </c>
      <c r="AY75" s="42">
        <f t="shared" si="6"/>
        <v>0</v>
      </c>
    </row>
    <row r="76" spans="1:51" x14ac:dyDescent="0.25">
      <c r="A76" s="38">
        <v>42</v>
      </c>
      <c r="B76" s="39" t="s">
        <v>132</v>
      </c>
      <c r="C76" s="40" t="s">
        <v>133</v>
      </c>
      <c r="D76" s="40" t="s">
        <v>55</v>
      </c>
      <c r="E76" s="40" t="s">
        <v>55</v>
      </c>
      <c r="F76" s="40" t="s">
        <v>55</v>
      </c>
      <c r="G76" s="38">
        <v>1</v>
      </c>
      <c r="H76" s="40">
        <v>42016.81</v>
      </c>
      <c r="I76" s="40">
        <v>0</v>
      </c>
      <c r="J76" s="41" t="str" cm="1">
        <f t="array" ref="J76">IF($V76="","",IFERROR(INDEX(Articulacion!G:G,$V76),0))</f>
        <v/>
      </c>
      <c r="K76" s="41" t="str" cm="1">
        <f t="array" ref="K76">IF($V76="","",IFERROR(INDEX(Articulacion!H:H,$V76),0))</f>
        <v/>
      </c>
      <c r="L76" s="41" t="str" cm="1">
        <f t="array" ref="L76">IF($V76="","",IFERROR(INDEX(Articulacion!I:I,$V76),0))</f>
        <v/>
      </c>
      <c r="M76" s="41" t="str" cm="1">
        <f t="array" ref="M76">IF($V76="","",IFERROR(INDEX(Articulacion!J:J,$V76),0))</f>
        <v/>
      </c>
      <c r="N76" s="41" t="str" cm="1">
        <f t="array" ref="N76">IF($V76="","",IFERROR(INDEX(Articulacion!K:K,$V76),0))</f>
        <v/>
      </c>
      <c r="O76" s="41" t="str" cm="1">
        <f t="array" ref="O76">IF($V76="","",IFERROR(INDEX(Articulacion!L:L,$V76),0))</f>
        <v/>
      </c>
      <c r="P76" s="41" t="str" cm="1">
        <f t="array" ref="P76">IF($V76="","",IFERROR(INDEX(Articulacion!M:M,$V76),0))</f>
        <v/>
      </c>
      <c r="Q76" s="41" t="str" cm="1">
        <f t="array" ref="Q76">IF($V76="","",IFERROR(INDEX(Articulacion!N:N,$V76),0))</f>
        <v/>
      </c>
      <c r="R76" s="41" t="str" cm="1">
        <f t="array" ref="R76">IF($V76="","",IFERROR(INDEX(Articulacion!O:O,$V76),0))</f>
        <v/>
      </c>
      <c r="S76" s="41" t="str" cm="1">
        <f t="array" ref="S76">IF($V76="","",IFERROR(INDEX(Articulacion!P:P,$V76),0))</f>
        <v/>
      </c>
      <c r="T76" s="41" t="str" cm="1">
        <f t="array" ref="T76">IF($V76="","",IFERROR(INDEX(Articulacion!Q:Q,$V76),0))</f>
        <v/>
      </c>
      <c r="U76" s="48">
        <f t="shared" si="4"/>
        <v>0</v>
      </c>
      <c r="V76" s="49"/>
      <c r="W76" s="40"/>
      <c r="X76" s="40"/>
      <c r="Y76" s="40">
        <v>1</v>
      </c>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6">
        <f t="shared" si="5"/>
        <v>1</v>
      </c>
      <c r="AY76" s="42">
        <f t="shared" si="6"/>
        <v>0</v>
      </c>
    </row>
    <row r="77" spans="1:51" x14ac:dyDescent="0.25">
      <c r="A77" s="38">
        <v>17</v>
      </c>
      <c r="B77" s="39" t="s">
        <v>85</v>
      </c>
      <c r="C77" s="40" t="s">
        <v>86</v>
      </c>
      <c r="D77" s="40" t="s">
        <v>55</v>
      </c>
      <c r="E77" s="40" t="s">
        <v>55</v>
      </c>
      <c r="F77" s="40" t="s">
        <v>55</v>
      </c>
      <c r="G77" s="38">
        <v>10</v>
      </c>
      <c r="H77" s="40">
        <v>2941.18</v>
      </c>
      <c r="I77" s="40">
        <v>0</v>
      </c>
      <c r="J77" s="41" t="str" cm="1">
        <f t="array" ref="J77">IF($V77="","",IFERROR(INDEX(Articulacion!G:G,$V77),0))</f>
        <v/>
      </c>
      <c r="K77" s="41" t="str" cm="1">
        <f t="array" ref="K77">IF($V77="","",IFERROR(INDEX(Articulacion!H:H,$V77),0))</f>
        <v/>
      </c>
      <c r="L77" s="41" t="str" cm="1">
        <f t="array" ref="L77">IF($V77="","",IFERROR(INDEX(Articulacion!I:I,$V77),0))</f>
        <v/>
      </c>
      <c r="M77" s="41" t="str" cm="1">
        <f t="array" ref="M77">IF($V77="","",IFERROR(INDEX(Articulacion!J:J,$V77),0))</f>
        <v/>
      </c>
      <c r="N77" s="41" t="str" cm="1">
        <f t="array" ref="N77">IF($V77="","",IFERROR(INDEX(Articulacion!K:K,$V77),0))</f>
        <v/>
      </c>
      <c r="O77" s="41" t="str" cm="1">
        <f t="array" ref="O77">IF($V77="","",IFERROR(INDEX(Articulacion!L:L,$V77),0))</f>
        <v/>
      </c>
      <c r="P77" s="41" t="str" cm="1">
        <f t="array" ref="P77">IF($V77="","",IFERROR(INDEX(Articulacion!M:M,$V77),0))</f>
        <v/>
      </c>
      <c r="Q77" s="41" t="str" cm="1">
        <f t="array" ref="Q77">IF($V77="","",IFERROR(INDEX(Articulacion!N:N,$V77),0))</f>
        <v/>
      </c>
      <c r="R77" s="41" t="str" cm="1">
        <f t="array" ref="R77">IF($V77="","",IFERROR(INDEX(Articulacion!O:O,$V77),0))</f>
        <v/>
      </c>
      <c r="S77" s="41" t="str" cm="1">
        <f t="array" ref="S77">IF($V77="","",IFERROR(INDEX(Articulacion!P:P,$V77),0))</f>
        <v/>
      </c>
      <c r="T77" s="41" t="str" cm="1">
        <f t="array" ref="T77">IF($V77="","",IFERROR(INDEX(Articulacion!Q:Q,$V77),0))</f>
        <v/>
      </c>
      <c r="U77" s="48">
        <f t="shared" si="4"/>
        <v>0</v>
      </c>
      <c r="V77" s="49"/>
      <c r="W77" s="40">
        <v>1</v>
      </c>
      <c r="X77" s="40">
        <v>1</v>
      </c>
      <c r="Y77" s="40">
        <v>1</v>
      </c>
      <c r="Z77" s="40">
        <v>1</v>
      </c>
      <c r="AA77" s="40">
        <v>1</v>
      </c>
      <c r="AB77" s="40">
        <v>1</v>
      </c>
      <c r="AC77" s="40">
        <v>1</v>
      </c>
      <c r="AD77" s="40">
        <v>1</v>
      </c>
      <c r="AE77" s="40">
        <v>1</v>
      </c>
      <c r="AF77" s="40">
        <v>1</v>
      </c>
      <c r="AG77" s="40"/>
      <c r="AH77" s="40"/>
      <c r="AI77" s="40"/>
      <c r="AJ77" s="40"/>
      <c r="AK77" s="40"/>
      <c r="AL77" s="40"/>
      <c r="AM77" s="40"/>
      <c r="AN77" s="40"/>
      <c r="AO77" s="40"/>
      <c r="AP77" s="40"/>
      <c r="AQ77" s="40"/>
      <c r="AR77" s="40"/>
      <c r="AS77" s="40"/>
      <c r="AT77" s="40"/>
      <c r="AU77" s="40"/>
      <c r="AV77" s="40"/>
      <c r="AW77" s="40"/>
      <c r="AX77" s="46">
        <f t="shared" si="5"/>
        <v>10</v>
      </c>
      <c r="AY77" s="42">
        <f t="shared" si="6"/>
        <v>0</v>
      </c>
    </row>
    <row r="78" spans="1:51" x14ac:dyDescent="0.25">
      <c r="A78" s="38">
        <v>67</v>
      </c>
      <c r="B78" s="39" t="s">
        <v>181</v>
      </c>
      <c r="C78" s="40" t="s">
        <v>182</v>
      </c>
      <c r="D78" s="40" t="s">
        <v>55</v>
      </c>
      <c r="E78" s="40" t="s">
        <v>55</v>
      </c>
      <c r="F78" s="40" t="s">
        <v>55</v>
      </c>
      <c r="G78" s="38">
        <v>5</v>
      </c>
      <c r="H78" s="40">
        <v>5042.0200000000004</v>
      </c>
      <c r="I78" s="40">
        <v>0</v>
      </c>
      <c r="J78" s="41" t="str" cm="1">
        <f t="array" ref="J78">IF($V78="","",IFERROR(INDEX(Articulacion!G:G,$V78),0))</f>
        <v/>
      </c>
      <c r="K78" s="41" t="str" cm="1">
        <f t="array" ref="K78">IF($V78="","",IFERROR(INDEX(Articulacion!H:H,$V78),0))</f>
        <v/>
      </c>
      <c r="L78" s="41" t="str" cm="1">
        <f t="array" ref="L78">IF($V78="","",IFERROR(INDEX(Articulacion!I:I,$V78),0))</f>
        <v/>
      </c>
      <c r="M78" s="41" t="str" cm="1">
        <f t="array" ref="M78">IF($V78="","",IFERROR(INDEX(Articulacion!J:J,$V78),0))</f>
        <v/>
      </c>
      <c r="N78" s="41" t="str" cm="1">
        <f t="array" ref="N78">IF($V78="","",IFERROR(INDEX(Articulacion!K:K,$V78),0))</f>
        <v/>
      </c>
      <c r="O78" s="41" t="str" cm="1">
        <f t="array" ref="O78">IF($V78="","",IFERROR(INDEX(Articulacion!L:L,$V78),0))</f>
        <v/>
      </c>
      <c r="P78" s="41" t="str" cm="1">
        <f t="array" ref="P78">IF($V78="","",IFERROR(INDEX(Articulacion!M:M,$V78),0))</f>
        <v/>
      </c>
      <c r="Q78" s="41" t="str" cm="1">
        <f t="array" ref="Q78">IF($V78="","",IFERROR(INDEX(Articulacion!N:N,$V78),0))</f>
        <v/>
      </c>
      <c r="R78" s="41" t="str" cm="1">
        <f t="array" ref="R78">IF($V78="","",IFERROR(INDEX(Articulacion!O:O,$V78),0))</f>
        <v/>
      </c>
      <c r="S78" s="41" t="str" cm="1">
        <f t="array" ref="S78">IF($V78="","",IFERROR(INDEX(Articulacion!P:P,$V78),0))</f>
        <v/>
      </c>
      <c r="T78" s="41" t="str" cm="1">
        <f t="array" ref="T78">IF($V78="","",IFERROR(INDEX(Articulacion!Q:Q,$V78),0))</f>
        <v/>
      </c>
      <c r="U78" s="48">
        <f t="shared" si="4"/>
        <v>0</v>
      </c>
      <c r="V78" s="49"/>
      <c r="W78" s="40">
        <v>1</v>
      </c>
      <c r="X78" s="40">
        <v>1</v>
      </c>
      <c r="Y78" s="40">
        <v>1</v>
      </c>
      <c r="Z78" s="40">
        <v>1</v>
      </c>
      <c r="AA78" s="40">
        <v>1</v>
      </c>
      <c r="AB78" s="40"/>
      <c r="AC78" s="40"/>
      <c r="AD78" s="40"/>
      <c r="AE78" s="40"/>
      <c r="AF78" s="40"/>
      <c r="AG78" s="40"/>
      <c r="AH78" s="40"/>
      <c r="AI78" s="40"/>
      <c r="AJ78" s="40"/>
      <c r="AK78" s="40"/>
      <c r="AL78" s="40"/>
      <c r="AM78" s="40"/>
      <c r="AN78" s="40"/>
      <c r="AO78" s="40"/>
      <c r="AP78" s="40"/>
      <c r="AQ78" s="40"/>
      <c r="AR78" s="40"/>
      <c r="AS78" s="40"/>
      <c r="AT78" s="40"/>
      <c r="AU78" s="40"/>
      <c r="AV78" s="40"/>
      <c r="AW78" s="40"/>
      <c r="AX78" s="46">
        <f t="shared" si="5"/>
        <v>5</v>
      </c>
      <c r="AY78" s="42">
        <f t="shared" si="6"/>
        <v>0</v>
      </c>
    </row>
    <row r="79" spans="1:51" x14ac:dyDescent="0.25">
      <c r="A79" s="38">
        <v>41</v>
      </c>
      <c r="B79" s="39" t="s">
        <v>130</v>
      </c>
      <c r="C79" s="40" t="s">
        <v>131</v>
      </c>
      <c r="D79" s="40" t="s">
        <v>55</v>
      </c>
      <c r="E79" s="40" t="s">
        <v>55</v>
      </c>
      <c r="F79" s="40" t="s">
        <v>55</v>
      </c>
      <c r="G79" s="38">
        <v>20</v>
      </c>
      <c r="H79" s="40">
        <v>7563.03</v>
      </c>
      <c r="I79" s="40">
        <v>0</v>
      </c>
      <c r="J79" s="41" t="str" cm="1">
        <f t="array" ref="J79">IF($V79="","",IFERROR(INDEX(Articulacion!G:G,$V79),0))</f>
        <v/>
      </c>
      <c r="K79" s="41" t="str" cm="1">
        <f t="array" ref="K79">IF($V79="","",IFERROR(INDEX(Articulacion!H:H,$V79),0))</f>
        <v/>
      </c>
      <c r="L79" s="41" t="str" cm="1">
        <f t="array" ref="L79">IF($V79="","",IFERROR(INDEX(Articulacion!I:I,$V79),0))</f>
        <v/>
      </c>
      <c r="M79" s="41" t="str" cm="1">
        <f t="array" ref="M79">IF($V79="","",IFERROR(INDEX(Articulacion!J:J,$V79),0))</f>
        <v/>
      </c>
      <c r="N79" s="41" t="str" cm="1">
        <f t="array" ref="N79">IF($V79="","",IFERROR(INDEX(Articulacion!K:K,$V79),0))</f>
        <v/>
      </c>
      <c r="O79" s="41" t="str" cm="1">
        <f t="array" ref="O79">IF($V79="","",IFERROR(INDEX(Articulacion!L:L,$V79),0))</f>
        <v/>
      </c>
      <c r="P79" s="41" t="str" cm="1">
        <f t="array" ref="P79">IF($V79="","",IFERROR(INDEX(Articulacion!M:M,$V79),0))</f>
        <v/>
      </c>
      <c r="Q79" s="41" t="str" cm="1">
        <f t="array" ref="Q79">IF($V79="","",IFERROR(INDEX(Articulacion!N:N,$V79),0))</f>
        <v/>
      </c>
      <c r="R79" s="41" t="str" cm="1">
        <f t="array" ref="R79">IF($V79="","",IFERROR(INDEX(Articulacion!O:O,$V79),0))</f>
        <v/>
      </c>
      <c r="S79" s="41" t="str" cm="1">
        <f t="array" ref="S79">IF($V79="","",IFERROR(INDEX(Articulacion!P:P,$V79),0))</f>
        <v/>
      </c>
      <c r="T79" s="41" t="str" cm="1">
        <f t="array" ref="T79">IF($V79="","",IFERROR(INDEX(Articulacion!Q:Q,$V79),0))</f>
        <v/>
      </c>
      <c r="U79" s="48">
        <f t="shared" si="4"/>
        <v>0</v>
      </c>
      <c r="V79" s="49"/>
      <c r="W79" s="40">
        <v>1</v>
      </c>
      <c r="X79" s="40">
        <v>1</v>
      </c>
      <c r="Y79" s="40">
        <v>1</v>
      </c>
      <c r="Z79" s="40">
        <v>1</v>
      </c>
      <c r="AA79" s="40">
        <v>1</v>
      </c>
      <c r="AB79" s="40">
        <v>1</v>
      </c>
      <c r="AC79" s="40">
        <v>1</v>
      </c>
      <c r="AD79" s="40">
        <v>1</v>
      </c>
      <c r="AE79" s="40">
        <v>1</v>
      </c>
      <c r="AF79" s="40">
        <v>1</v>
      </c>
      <c r="AG79" s="40">
        <v>1</v>
      </c>
      <c r="AH79" s="40">
        <v>1</v>
      </c>
      <c r="AI79" s="40">
        <v>1</v>
      </c>
      <c r="AJ79" s="40">
        <v>1</v>
      </c>
      <c r="AK79" s="40">
        <v>1</v>
      </c>
      <c r="AL79" s="40">
        <v>1</v>
      </c>
      <c r="AM79" s="40">
        <v>1</v>
      </c>
      <c r="AN79" s="40">
        <v>2</v>
      </c>
      <c r="AO79" s="40">
        <v>1</v>
      </c>
      <c r="AP79" s="40"/>
      <c r="AQ79" s="40"/>
      <c r="AR79" s="40"/>
      <c r="AS79" s="40"/>
      <c r="AT79" s="40"/>
      <c r="AU79" s="40"/>
      <c r="AV79" s="40"/>
      <c r="AW79" s="40"/>
      <c r="AX79" s="46">
        <f t="shared" si="5"/>
        <v>20</v>
      </c>
      <c r="AY79" s="42">
        <f t="shared" si="6"/>
        <v>0</v>
      </c>
    </row>
    <row r="80" spans="1:51" x14ac:dyDescent="0.25">
      <c r="A80" s="38">
        <v>40</v>
      </c>
      <c r="B80" s="39" t="s">
        <v>128</v>
      </c>
      <c r="C80" s="40" t="s">
        <v>129</v>
      </c>
      <c r="D80" s="40" t="s">
        <v>55</v>
      </c>
      <c r="E80" s="40" t="s">
        <v>55</v>
      </c>
      <c r="F80" s="40" t="s">
        <v>55</v>
      </c>
      <c r="G80" s="38">
        <v>13</v>
      </c>
      <c r="H80" s="40">
        <v>19327.73</v>
      </c>
      <c r="I80" s="40">
        <v>0</v>
      </c>
      <c r="J80" s="41" cm="1">
        <f t="array" ref="J80">IF($V80="","",IFERROR(INDEX(Articulacion!G:G,$V80),0))</f>
        <v>1</v>
      </c>
      <c r="K80" s="41" cm="1">
        <f t="array" ref="K80">IF($V80="","",IFERROR(INDEX(Articulacion!H:H,$V80),0))</f>
        <v>0</v>
      </c>
      <c r="L80" s="41" cm="1">
        <f t="array" ref="L80">IF($V80="","",IFERROR(INDEX(Articulacion!I:I,$V80),0))</f>
        <v>0</v>
      </c>
      <c r="M80" s="41" cm="1">
        <f t="array" ref="M80">IF($V80="","",IFERROR(INDEX(Articulacion!J:J,$V80),0))</f>
        <v>0</v>
      </c>
      <c r="N80" s="41" cm="1">
        <f t="array" ref="N80">IF($V80="","",IFERROR(INDEX(Articulacion!K:K,$V80),0))</f>
        <v>1</v>
      </c>
      <c r="O80" s="41" cm="1">
        <f t="array" ref="O80">IF($V80="","",IFERROR(INDEX(Articulacion!L:L,$V80),0))</f>
        <v>0</v>
      </c>
      <c r="P80" s="41" cm="1">
        <f t="array" ref="P80">IF($V80="","",IFERROR(INDEX(Articulacion!M:M,$V80),0))</f>
        <v>1</v>
      </c>
      <c r="Q80" s="41" cm="1">
        <f t="array" ref="Q80">IF($V80="","",IFERROR(INDEX(Articulacion!N:N,$V80),0))</f>
        <v>0</v>
      </c>
      <c r="R80" s="41" cm="1">
        <f t="array" ref="R80">IF($V80="","",IFERROR(INDEX(Articulacion!O:O,$V80),0))</f>
        <v>0</v>
      </c>
      <c r="S80" s="41" cm="1">
        <f t="array" ref="S80">IF($V80="","",IFERROR(INDEX(Articulacion!P:P,$V80),0))</f>
        <v>0</v>
      </c>
      <c r="T80" s="41" cm="1">
        <f t="array" ref="T80">IF($V80="","",IFERROR(INDEX(Articulacion!Q:Q,$V80),0))</f>
        <v>0</v>
      </c>
      <c r="U80" s="48">
        <f t="shared" si="4"/>
        <v>3</v>
      </c>
      <c r="V80" s="49">
        <v>9</v>
      </c>
      <c r="W80" s="40"/>
      <c r="X80" s="40"/>
      <c r="Y80" s="40"/>
      <c r="Z80" s="40"/>
      <c r="AA80" s="40"/>
      <c r="AB80" s="40"/>
      <c r="AC80" s="40"/>
      <c r="AD80" s="40"/>
      <c r="AE80" s="40"/>
      <c r="AF80" s="40"/>
      <c r="AG80" s="40"/>
      <c r="AH80" s="40"/>
      <c r="AI80" s="40"/>
      <c r="AJ80" s="40"/>
      <c r="AK80" s="40"/>
      <c r="AL80" s="40"/>
      <c r="AM80" s="40"/>
      <c r="AN80" s="40">
        <v>1</v>
      </c>
      <c r="AO80" s="40">
        <v>1</v>
      </c>
      <c r="AP80" s="40">
        <v>1</v>
      </c>
      <c r="AQ80" s="40">
        <v>1</v>
      </c>
      <c r="AR80" s="40">
        <v>1</v>
      </c>
      <c r="AS80" s="40">
        <v>1</v>
      </c>
      <c r="AT80" s="40">
        <v>1</v>
      </c>
      <c r="AU80" s="40">
        <v>1</v>
      </c>
      <c r="AV80" s="40">
        <v>1</v>
      </c>
      <c r="AW80" s="40">
        <v>1</v>
      </c>
      <c r="AX80" s="46">
        <f t="shared" si="5"/>
        <v>10</v>
      </c>
      <c r="AY80" s="42">
        <f t="shared" si="6"/>
        <v>0</v>
      </c>
    </row>
    <row r="81" spans="1:51" x14ac:dyDescent="0.25">
      <c r="A81" s="38">
        <v>39</v>
      </c>
      <c r="B81" s="39" t="s">
        <v>126</v>
      </c>
      <c r="C81" s="40" t="s">
        <v>127</v>
      </c>
      <c r="D81" s="40" t="s">
        <v>55</v>
      </c>
      <c r="E81" s="40" t="s">
        <v>55</v>
      </c>
      <c r="F81" s="40" t="s">
        <v>55</v>
      </c>
      <c r="G81" s="38">
        <v>7</v>
      </c>
      <c r="H81" s="40">
        <v>21008.400000000001</v>
      </c>
      <c r="I81" s="40">
        <v>0</v>
      </c>
      <c r="J81" s="41" t="str" cm="1">
        <f t="array" ref="J81">IF($V81="","",IFERROR(INDEX(Articulacion!G:G,$V81),0))</f>
        <v/>
      </c>
      <c r="K81" s="41" t="str" cm="1">
        <f t="array" ref="K81">IF($V81="","",IFERROR(INDEX(Articulacion!H:H,$V81),0))</f>
        <v/>
      </c>
      <c r="L81" s="41" t="str" cm="1">
        <f t="array" ref="L81">IF($V81="","",IFERROR(INDEX(Articulacion!I:I,$V81),0))</f>
        <v/>
      </c>
      <c r="M81" s="41" t="str" cm="1">
        <f t="array" ref="M81">IF($V81="","",IFERROR(INDEX(Articulacion!J:J,$V81),0))</f>
        <v/>
      </c>
      <c r="N81" s="41" t="str" cm="1">
        <f t="array" ref="N81">IF($V81="","",IFERROR(INDEX(Articulacion!K:K,$V81),0))</f>
        <v/>
      </c>
      <c r="O81" s="41" t="str" cm="1">
        <f t="array" ref="O81">IF($V81="","",IFERROR(INDEX(Articulacion!L:L,$V81),0))</f>
        <v/>
      </c>
      <c r="P81" s="41" t="str" cm="1">
        <f t="array" ref="P81">IF($V81="","",IFERROR(INDEX(Articulacion!M:M,$V81),0))</f>
        <v/>
      </c>
      <c r="Q81" s="41" t="str" cm="1">
        <f t="array" ref="Q81">IF($V81="","",IFERROR(INDEX(Articulacion!N:N,$V81),0))</f>
        <v/>
      </c>
      <c r="R81" s="41" t="str" cm="1">
        <f t="array" ref="R81">IF($V81="","",IFERROR(INDEX(Articulacion!O:O,$V81),0))</f>
        <v/>
      </c>
      <c r="S81" s="41" t="str" cm="1">
        <f t="array" ref="S81">IF($V81="","",IFERROR(INDEX(Articulacion!P:P,$V81),0))</f>
        <v/>
      </c>
      <c r="T81" s="41" t="str" cm="1">
        <f t="array" ref="T81">IF($V81="","",IFERROR(INDEX(Articulacion!Q:Q,$V81),0))</f>
        <v/>
      </c>
      <c r="U81" s="48">
        <f t="shared" si="4"/>
        <v>0</v>
      </c>
      <c r="V81" s="49"/>
      <c r="W81" s="40">
        <v>1</v>
      </c>
      <c r="X81" s="40">
        <v>1</v>
      </c>
      <c r="Y81" s="40">
        <v>1</v>
      </c>
      <c r="Z81" s="40">
        <v>1</v>
      </c>
      <c r="AA81" s="40">
        <v>1</v>
      </c>
      <c r="AB81" s="40">
        <v>1</v>
      </c>
      <c r="AC81" s="40">
        <v>1</v>
      </c>
      <c r="AD81" s="40"/>
      <c r="AE81" s="40"/>
      <c r="AF81" s="40"/>
      <c r="AG81" s="40"/>
      <c r="AH81" s="40"/>
      <c r="AI81" s="40"/>
      <c r="AJ81" s="40"/>
      <c r="AK81" s="40"/>
      <c r="AL81" s="40"/>
      <c r="AM81" s="40"/>
      <c r="AN81" s="40"/>
      <c r="AO81" s="40"/>
      <c r="AP81" s="40"/>
      <c r="AQ81" s="40"/>
      <c r="AR81" s="40"/>
      <c r="AS81" s="40"/>
      <c r="AT81" s="40"/>
      <c r="AU81" s="40"/>
      <c r="AV81" s="40"/>
      <c r="AW81" s="40"/>
      <c r="AX81" s="46">
        <f t="shared" si="5"/>
        <v>7</v>
      </c>
      <c r="AY81" s="42">
        <f t="shared" si="6"/>
        <v>0</v>
      </c>
    </row>
    <row r="82" spans="1:51" x14ac:dyDescent="0.25">
      <c r="A82" s="38">
        <v>12</v>
      </c>
      <c r="B82" s="39" t="s">
        <v>75</v>
      </c>
      <c r="C82" s="40" t="s">
        <v>76</v>
      </c>
      <c r="D82" s="40" t="s">
        <v>55</v>
      </c>
      <c r="E82" s="40" t="s">
        <v>55</v>
      </c>
      <c r="F82" s="40" t="s">
        <v>55</v>
      </c>
      <c r="G82" s="38">
        <v>4</v>
      </c>
      <c r="H82" s="40">
        <v>11764.71</v>
      </c>
      <c r="I82" s="40">
        <v>0</v>
      </c>
      <c r="J82" s="41" cm="1">
        <f t="array" ref="J82">IF($V82="","",IFERROR(INDEX(Articulacion!G:G,$V82),0))</f>
        <v>0</v>
      </c>
      <c r="K82" s="41" cm="1">
        <f t="array" ref="K82">IF($V82="","",IFERROR(INDEX(Articulacion!H:H,$V82),0))</f>
        <v>0</v>
      </c>
      <c r="L82" s="41" cm="1">
        <f t="array" ref="L82">IF($V82="","",IFERROR(INDEX(Articulacion!I:I,$V82),0))</f>
        <v>0</v>
      </c>
      <c r="M82" s="41" cm="1">
        <f t="array" ref="M82">IF($V82="","",IFERROR(INDEX(Articulacion!J:J,$V82),0))</f>
        <v>0</v>
      </c>
      <c r="N82" s="41" cm="1">
        <f t="array" ref="N82">IF($V82="","",IFERROR(INDEX(Articulacion!K:K,$V82),0))</f>
        <v>0</v>
      </c>
      <c r="O82" s="41" cm="1">
        <f t="array" ref="O82">IF($V82="","",IFERROR(INDEX(Articulacion!L:L,$V82),0))</f>
        <v>0</v>
      </c>
      <c r="P82" s="41" cm="1">
        <f t="array" ref="P82">IF($V82="","",IFERROR(INDEX(Articulacion!M:M,$V82),0))</f>
        <v>0</v>
      </c>
      <c r="Q82" s="41" cm="1">
        <f t="array" ref="Q82">IF($V82="","",IFERROR(INDEX(Articulacion!N:N,$V82),0))</f>
        <v>1</v>
      </c>
      <c r="R82" s="41" cm="1">
        <f t="array" ref="R82">IF($V82="","",IFERROR(INDEX(Articulacion!O:O,$V82),0))</f>
        <v>1</v>
      </c>
      <c r="S82" s="41" cm="1">
        <f t="array" ref="S82">IF($V82="","",IFERROR(INDEX(Articulacion!P:P,$V82),0))</f>
        <v>1</v>
      </c>
      <c r="T82" s="41" cm="1">
        <f t="array" ref="T82">IF($V82="","",IFERROR(INDEX(Articulacion!Q:Q,$V82),0))</f>
        <v>1</v>
      </c>
      <c r="U82" s="48">
        <f t="shared" si="4"/>
        <v>4</v>
      </c>
      <c r="V82" s="49">
        <v>10</v>
      </c>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6">
        <f t="shared" si="5"/>
        <v>0</v>
      </c>
      <c r="AY82" s="42">
        <f t="shared" si="6"/>
        <v>0</v>
      </c>
    </row>
    <row r="83" spans="1:51" x14ac:dyDescent="0.25">
      <c r="A83" s="38">
        <v>33</v>
      </c>
      <c r="B83" s="39" t="s">
        <v>96</v>
      </c>
      <c r="C83" s="40" t="s">
        <v>115</v>
      </c>
      <c r="D83" s="40" t="s">
        <v>55</v>
      </c>
      <c r="E83" s="40" t="s">
        <v>55</v>
      </c>
      <c r="F83" s="40" t="s">
        <v>55</v>
      </c>
      <c r="G83" s="38">
        <v>2</v>
      </c>
      <c r="H83" s="40">
        <v>92436.97</v>
      </c>
      <c r="I83" s="40">
        <v>0</v>
      </c>
      <c r="J83" s="41" t="str" cm="1">
        <f t="array" ref="J83">IF($V83="","",IFERROR(INDEX(Articulacion!G:G,$V83),0))</f>
        <v/>
      </c>
      <c r="K83" s="41" t="str" cm="1">
        <f t="array" ref="K83">IF($V83="","",IFERROR(INDEX(Articulacion!H:H,$V83),0))</f>
        <v/>
      </c>
      <c r="L83" s="41" t="str" cm="1">
        <f t="array" ref="L83">IF($V83="","",IFERROR(INDEX(Articulacion!I:I,$V83),0))</f>
        <v/>
      </c>
      <c r="M83" s="41" t="str" cm="1">
        <f t="array" ref="M83">IF($V83="","",IFERROR(INDEX(Articulacion!J:J,$V83),0))</f>
        <v/>
      </c>
      <c r="N83" s="41" t="str" cm="1">
        <f t="array" ref="N83">IF($V83="","",IFERROR(INDEX(Articulacion!K:K,$V83),0))</f>
        <v/>
      </c>
      <c r="O83" s="41" t="str" cm="1">
        <f t="array" ref="O83">IF($V83="","",IFERROR(INDEX(Articulacion!L:L,$V83),0))</f>
        <v/>
      </c>
      <c r="P83" s="41" t="str" cm="1">
        <f t="array" ref="P83">IF($V83="","",IFERROR(INDEX(Articulacion!M:M,$V83),0))</f>
        <v/>
      </c>
      <c r="Q83" s="41" t="str" cm="1">
        <f t="array" ref="Q83">IF($V83="","",IFERROR(INDEX(Articulacion!N:N,$V83),0))</f>
        <v/>
      </c>
      <c r="R83" s="41" t="str" cm="1">
        <f t="array" ref="R83">IF($V83="","",IFERROR(INDEX(Articulacion!O:O,$V83),0))</f>
        <v/>
      </c>
      <c r="S83" s="41" t="str" cm="1">
        <f t="array" ref="S83">IF($V83="","",IFERROR(INDEX(Articulacion!P:P,$V83),0))</f>
        <v/>
      </c>
      <c r="T83" s="41" t="str" cm="1">
        <f t="array" ref="T83">IF($V83="","",IFERROR(INDEX(Articulacion!Q:Q,$V83),0))</f>
        <v/>
      </c>
      <c r="U83" s="48">
        <f t="shared" si="4"/>
        <v>0</v>
      </c>
      <c r="V83" s="49"/>
      <c r="W83" s="40">
        <v>1</v>
      </c>
      <c r="X83" s="40">
        <v>1</v>
      </c>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6">
        <f t="shared" si="5"/>
        <v>2</v>
      </c>
      <c r="AY83" s="42">
        <f t="shared" si="6"/>
        <v>0</v>
      </c>
    </row>
    <row r="84" spans="1:51" x14ac:dyDescent="0.25">
      <c r="A84" s="38">
        <v>24</v>
      </c>
      <c r="B84" s="39" t="s">
        <v>96</v>
      </c>
      <c r="C84" s="40" t="s">
        <v>98</v>
      </c>
      <c r="D84" s="40" t="s">
        <v>55</v>
      </c>
      <c r="E84" s="40" t="s">
        <v>55</v>
      </c>
      <c r="F84" s="40" t="s">
        <v>55</v>
      </c>
      <c r="G84" s="38">
        <v>3</v>
      </c>
      <c r="H84" s="40">
        <v>11764.71</v>
      </c>
      <c r="I84" s="40">
        <v>0</v>
      </c>
      <c r="J84" s="41" t="str" cm="1">
        <f t="array" ref="J84">IF($V84="","",IFERROR(INDEX(Articulacion!G:G,$V84),0))</f>
        <v/>
      </c>
      <c r="K84" s="41" t="str" cm="1">
        <f t="array" ref="K84">IF($V84="","",IFERROR(INDEX(Articulacion!H:H,$V84),0))</f>
        <v/>
      </c>
      <c r="L84" s="41" t="str" cm="1">
        <f t="array" ref="L84">IF($V84="","",IFERROR(INDEX(Articulacion!I:I,$V84),0))</f>
        <v/>
      </c>
      <c r="M84" s="41" t="str" cm="1">
        <f t="array" ref="M84">IF($V84="","",IFERROR(INDEX(Articulacion!J:J,$V84),0))</f>
        <v/>
      </c>
      <c r="N84" s="41" t="str" cm="1">
        <f t="array" ref="N84">IF($V84="","",IFERROR(INDEX(Articulacion!K:K,$V84),0))</f>
        <v/>
      </c>
      <c r="O84" s="41" t="str" cm="1">
        <f t="array" ref="O84">IF($V84="","",IFERROR(INDEX(Articulacion!L:L,$V84),0))</f>
        <v/>
      </c>
      <c r="P84" s="41" t="str" cm="1">
        <f t="array" ref="P84">IF($V84="","",IFERROR(INDEX(Articulacion!M:M,$V84),0))</f>
        <v/>
      </c>
      <c r="Q84" s="41" t="str" cm="1">
        <f t="array" ref="Q84">IF($V84="","",IFERROR(INDEX(Articulacion!N:N,$V84),0))</f>
        <v/>
      </c>
      <c r="R84" s="41" t="str" cm="1">
        <f t="array" ref="R84">IF($V84="","",IFERROR(INDEX(Articulacion!O:O,$V84),0))</f>
        <v/>
      </c>
      <c r="S84" s="41" t="str" cm="1">
        <f t="array" ref="S84">IF($V84="","",IFERROR(INDEX(Articulacion!P:P,$V84),0))</f>
        <v/>
      </c>
      <c r="T84" s="41" t="str" cm="1">
        <f t="array" ref="T84">IF($V84="","",IFERROR(INDEX(Articulacion!Q:Q,$V84),0))</f>
        <v/>
      </c>
      <c r="U84" s="48">
        <f t="shared" si="4"/>
        <v>0</v>
      </c>
      <c r="V84" s="49"/>
      <c r="W84" s="40"/>
      <c r="X84" s="40"/>
      <c r="Y84" s="40"/>
      <c r="Z84" s="40"/>
      <c r="AA84" s="40"/>
      <c r="AB84" s="40"/>
      <c r="AC84" s="40"/>
      <c r="AD84" s="40"/>
      <c r="AE84" s="40"/>
      <c r="AF84" s="40"/>
      <c r="AG84" s="40"/>
      <c r="AH84" s="40"/>
      <c r="AI84" s="40"/>
      <c r="AJ84" s="40"/>
      <c r="AK84" s="40"/>
      <c r="AL84" s="40"/>
      <c r="AM84" s="40"/>
      <c r="AN84" s="40"/>
      <c r="AO84" s="40"/>
      <c r="AP84" s="40"/>
      <c r="AQ84" s="40">
        <v>1</v>
      </c>
      <c r="AR84" s="40">
        <v>2</v>
      </c>
      <c r="AS84" s="40"/>
      <c r="AT84" s="40"/>
      <c r="AU84" s="40"/>
      <c r="AV84" s="40"/>
      <c r="AW84" s="40"/>
      <c r="AX84" s="46">
        <f t="shared" si="5"/>
        <v>3</v>
      </c>
      <c r="AY84" s="42">
        <f t="shared" si="6"/>
        <v>0</v>
      </c>
    </row>
    <row r="85" spans="1:51" x14ac:dyDescent="0.25">
      <c r="A85" s="38">
        <v>25</v>
      </c>
      <c r="B85" s="39" t="s">
        <v>99</v>
      </c>
      <c r="C85" s="40" t="s">
        <v>100</v>
      </c>
      <c r="D85" s="40" t="s">
        <v>55</v>
      </c>
      <c r="E85" s="40" t="s">
        <v>55</v>
      </c>
      <c r="F85" s="40" t="s">
        <v>55</v>
      </c>
      <c r="G85" s="38">
        <v>3</v>
      </c>
      <c r="H85" s="40">
        <v>11764.71</v>
      </c>
      <c r="I85" s="40">
        <v>0</v>
      </c>
      <c r="J85" s="41" t="str" cm="1">
        <f t="array" ref="J85">IF($V85="","",IFERROR(INDEX(Articulacion!G:G,$V85),0))</f>
        <v/>
      </c>
      <c r="K85" s="41" t="str" cm="1">
        <f t="array" ref="K85">IF($V85="","",IFERROR(INDEX(Articulacion!H:H,$V85),0))</f>
        <v/>
      </c>
      <c r="L85" s="41" t="str" cm="1">
        <f t="array" ref="L85">IF($V85="","",IFERROR(INDEX(Articulacion!I:I,$V85),0))</f>
        <v/>
      </c>
      <c r="M85" s="41" t="str" cm="1">
        <f t="array" ref="M85">IF($V85="","",IFERROR(INDEX(Articulacion!J:J,$V85),0))</f>
        <v/>
      </c>
      <c r="N85" s="41" t="str" cm="1">
        <f t="array" ref="N85">IF($V85="","",IFERROR(INDEX(Articulacion!K:K,$V85),0))</f>
        <v/>
      </c>
      <c r="O85" s="41" t="str" cm="1">
        <f t="array" ref="O85">IF($V85="","",IFERROR(INDEX(Articulacion!L:L,$V85),0))</f>
        <v/>
      </c>
      <c r="P85" s="41" t="str" cm="1">
        <f t="array" ref="P85">IF($V85="","",IFERROR(INDEX(Articulacion!M:M,$V85),0))</f>
        <v/>
      </c>
      <c r="Q85" s="41" t="str" cm="1">
        <f t="array" ref="Q85">IF($V85="","",IFERROR(INDEX(Articulacion!N:N,$V85),0))</f>
        <v/>
      </c>
      <c r="R85" s="41" t="str" cm="1">
        <f t="array" ref="R85">IF($V85="","",IFERROR(INDEX(Articulacion!O:O,$V85),0))</f>
        <v/>
      </c>
      <c r="S85" s="41" t="str" cm="1">
        <f t="array" ref="S85">IF($V85="","",IFERROR(INDEX(Articulacion!P:P,$V85),0))</f>
        <v/>
      </c>
      <c r="T85" s="41" t="str" cm="1">
        <f t="array" ref="T85">IF($V85="","",IFERROR(INDEX(Articulacion!Q:Q,$V85),0))</f>
        <v/>
      </c>
      <c r="U85" s="48">
        <f t="shared" si="4"/>
        <v>0</v>
      </c>
      <c r="V85" s="49"/>
      <c r="W85" s="40"/>
      <c r="X85" s="40"/>
      <c r="Y85" s="40"/>
      <c r="Z85" s="40"/>
      <c r="AA85" s="40"/>
      <c r="AB85" s="40"/>
      <c r="AC85" s="40"/>
      <c r="AD85" s="40"/>
      <c r="AE85" s="40"/>
      <c r="AF85" s="40"/>
      <c r="AG85" s="40"/>
      <c r="AH85" s="40"/>
      <c r="AI85" s="40"/>
      <c r="AJ85" s="40"/>
      <c r="AK85" s="40"/>
      <c r="AL85" s="40"/>
      <c r="AM85" s="40"/>
      <c r="AN85" s="40"/>
      <c r="AO85" s="40"/>
      <c r="AP85" s="40"/>
      <c r="AQ85" s="40">
        <v>2</v>
      </c>
      <c r="AR85" s="40">
        <v>1</v>
      </c>
      <c r="AS85" s="40"/>
      <c r="AT85" s="40"/>
      <c r="AU85" s="40"/>
      <c r="AV85" s="40"/>
      <c r="AW85" s="40"/>
      <c r="AX85" s="46">
        <f t="shared" si="5"/>
        <v>3</v>
      </c>
      <c r="AY85" s="42">
        <f t="shared" si="6"/>
        <v>0</v>
      </c>
    </row>
    <row r="86" spans="1:51" x14ac:dyDescent="0.25">
      <c r="A86" s="38">
        <v>23</v>
      </c>
      <c r="B86" s="39" t="s">
        <v>96</v>
      </c>
      <c r="C86" s="40" t="s">
        <v>97</v>
      </c>
      <c r="D86" s="40" t="s">
        <v>55</v>
      </c>
      <c r="E86" s="40" t="s">
        <v>55</v>
      </c>
      <c r="F86" s="40" t="s">
        <v>55</v>
      </c>
      <c r="G86" s="38">
        <v>3</v>
      </c>
      <c r="H86" s="40">
        <v>11764.71</v>
      </c>
      <c r="I86" s="40">
        <v>0</v>
      </c>
      <c r="J86" s="41" t="str" cm="1">
        <f t="array" ref="J86">IF($V86="","",IFERROR(INDEX(Articulacion!G:G,$V86),0))</f>
        <v/>
      </c>
      <c r="K86" s="41" t="str" cm="1">
        <f t="array" ref="K86">IF($V86="","",IFERROR(INDEX(Articulacion!H:H,$V86),0))</f>
        <v/>
      </c>
      <c r="L86" s="41" t="str" cm="1">
        <f t="array" ref="L86">IF($V86="","",IFERROR(INDEX(Articulacion!I:I,$V86),0))</f>
        <v/>
      </c>
      <c r="M86" s="41" t="str" cm="1">
        <f t="array" ref="M86">IF($V86="","",IFERROR(INDEX(Articulacion!J:J,$V86),0))</f>
        <v/>
      </c>
      <c r="N86" s="41" t="str" cm="1">
        <f t="array" ref="N86">IF($V86="","",IFERROR(INDEX(Articulacion!K:K,$V86),0))</f>
        <v/>
      </c>
      <c r="O86" s="41" t="str" cm="1">
        <f t="array" ref="O86">IF($V86="","",IFERROR(INDEX(Articulacion!L:L,$V86),0))</f>
        <v/>
      </c>
      <c r="P86" s="41" t="str" cm="1">
        <f t="array" ref="P86">IF($V86="","",IFERROR(INDEX(Articulacion!M:M,$V86),0))</f>
        <v/>
      </c>
      <c r="Q86" s="41" t="str" cm="1">
        <f t="array" ref="Q86">IF($V86="","",IFERROR(INDEX(Articulacion!N:N,$V86),0))</f>
        <v/>
      </c>
      <c r="R86" s="41" t="str" cm="1">
        <f t="array" ref="R86">IF($V86="","",IFERROR(INDEX(Articulacion!O:O,$V86),0))</f>
        <v/>
      </c>
      <c r="S86" s="41" t="str" cm="1">
        <f t="array" ref="S86">IF($V86="","",IFERROR(INDEX(Articulacion!P:P,$V86),0))</f>
        <v/>
      </c>
      <c r="T86" s="41" t="str" cm="1">
        <f t="array" ref="T86">IF($V86="","",IFERROR(INDEX(Articulacion!Q:Q,$V86),0))</f>
        <v/>
      </c>
      <c r="U86" s="48">
        <f t="shared" si="4"/>
        <v>0</v>
      </c>
      <c r="V86" s="49"/>
      <c r="W86" s="40"/>
      <c r="X86" s="40"/>
      <c r="Y86" s="40"/>
      <c r="Z86" s="40"/>
      <c r="AA86" s="40"/>
      <c r="AB86" s="40"/>
      <c r="AC86" s="40"/>
      <c r="AD86" s="40"/>
      <c r="AE86" s="40"/>
      <c r="AF86" s="40"/>
      <c r="AG86" s="40"/>
      <c r="AH86" s="40"/>
      <c r="AI86" s="40"/>
      <c r="AJ86" s="40"/>
      <c r="AK86" s="40"/>
      <c r="AL86" s="40"/>
      <c r="AM86" s="40"/>
      <c r="AN86" s="40"/>
      <c r="AO86" s="40"/>
      <c r="AP86" s="40"/>
      <c r="AQ86" s="40">
        <v>2</v>
      </c>
      <c r="AR86" s="40">
        <v>1</v>
      </c>
      <c r="AS86" s="40"/>
      <c r="AT86" s="40"/>
      <c r="AU86" s="40"/>
      <c r="AV86" s="40"/>
      <c r="AW86" s="40"/>
      <c r="AX86" s="46">
        <f t="shared" si="5"/>
        <v>3</v>
      </c>
      <c r="AY86" s="42">
        <f t="shared" si="6"/>
        <v>0</v>
      </c>
    </row>
    <row r="87" spans="1:51" x14ac:dyDescent="0.25">
      <c r="A87" s="38">
        <v>38</v>
      </c>
      <c r="B87" s="39" t="s">
        <v>124</v>
      </c>
      <c r="C87" s="40" t="s">
        <v>125</v>
      </c>
      <c r="D87" s="40" t="s">
        <v>55</v>
      </c>
      <c r="E87" s="40" t="s">
        <v>55</v>
      </c>
      <c r="F87" s="40" t="s">
        <v>55</v>
      </c>
      <c r="G87" s="38">
        <v>25</v>
      </c>
      <c r="H87" s="40">
        <v>3361.34</v>
      </c>
      <c r="I87" s="40">
        <v>0</v>
      </c>
      <c r="J87" s="41" t="str" cm="1">
        <f t="array" ref="J87">IF($V87="","",IFERROR(INDEX(Articulacion!G:G,$V87),0))</f>
        <v/>
      </c>
      <c r="K87" s="41" t="str" cm="1">
        <f t="array" ref="K87">IF($V87="","",IFERROR(INDEX(Articulacion!H:H,$V87),0))</f>
        <v/>
      </c>
      <c r="L87" s="41" t="str" cm="1">
        <f t="array" ref="L87">IF($V87="","",IFERROR(INDEX(Articulacion!I:I,$V87),0))</f>
        <v/>
      </c>
      <c r="M87" s="41" t="str" cm="1">
        <f t="array" ref="M87">IF($V87="","",IFERROR(INDEX(Articulacion!J:J,$V87),0))</f>
        <v/>
      </c>
      <c r="N87" s="41" t="str" cm="1">
        <f t="array" ref="N87">IF($V87="","",IFERROR(INDEX(Articulacion!K:K,$V87),0))</f>
        <v/>
      </c>
      <c r="O87" s="41" t="str" cm="1">
        <f t="array" ref="O87">IF($V87="","",IFERROR(INDEX(Articulacion!L:L,$V87),0))</f>
        <v/>
      </c>
      <c r="P87" s="41" t="str" cm="1">
        <f t="array" ref="P87">IF($V87="","",IFERROR(INDEX(Articulacion!M:M,$V87),0))</f>
        <v/>
      </c>
      <c r="Q87" s="41" t="str" cm="1">
        <f t="array" ref="Q87">IF($V87="","",IFERROR(INDEX(Articulacion!N:N,$V87),0))</f>
        <v/>
      </c>
      <c r="R87" s="41" t="str" cm="1">
        <f t="array" ref="R87">IF($V87="","",IFERROR(INDEX(Articulacion!O:O,$V87),0))</f>
        <v/>
      </c>
      <c r="S87" s="41" t="str" cm="1">
        <f t="array" ref="S87">IF($V87="","",IFERROR(INDEX(Articulacion!P:P,$V87),0))</f>
        <v/>
      </c>
      <c r="T87" s="41" t="str" cm="1">
        <f t="array" ref="T87">IF($V87="","",IFERROR(INDEX(Articulacion!Q:Q,$V87),0))</f>
        <v/>
      </c>
      <c r="U87" s="48">
        <f t="shared" si="4"/>
        <v>0</v>
      </c>
      <c r="V87" s="49"/>
      <c r="W87" s="40">
        <v>5</v>
      </c>
      <c r="X87" s="40">
        <v>5</v>
      </c>
      <c r="Y87" s="40">
        <v>1</v>
      </c>
      <c r="Z87" s="40">
        <v>1</v>
      </c>
      <c r="AA87" s="40">
        <v>1</v>
      </c>
      <c r="AB87" s="40">
        <v>1</v>
      </c>
      <c r="AC87" s="40">
        <v>1</v>
      </c>
      <c r="AD87" s="40">
        <v>1</v>
      </c>
      <c r="AE87" s="40">
        <v>1</v>
      </c>
      <c r="AF87" s="40">
        <v>1</v>
      </c>
      <c r="AG87" s="40">
        <v>1</v>
      </c>
      <c r="AH87" s="40">
        <v>1</v>
      </c>
      <c r="AI87" s="40">
        <v>1</v>
      </c>
      <c r="AJ87" s="40">
        <v>1</v>
      </c>
      <c r="AK87" s="40">
        <v>1</v>
      </c>
      <c r="AL87" s="40">
        <v>1</v>
      </c>
      <c r="AM87" s="40">
        <v>1</v>
      </c>
      <c r="AN87" s="40"/>
      <c r="AO87" s="40"/>
      <c r="AP87" s="40"/>
      <c r="AQ87" s="40"/>
      <c r="AR87" s="40"/>
      <c r="AS87" s="40"/>
      <c r="AT87" s="40"/>
      <c r="AU87" s="40"/>
      <c r="AV87" s="40"/>
      <c r="AW87" s="40"/>
      <c r="AX87" s="46">
        <f t="shared" si="5"/>
        <v>25</v>
      </c>
      <c r="AY87" s="42">
        <f t="shared" si="6"/>
        <v>0</v>
      </c>
    </row>
    <row r="88" spans="1:51" x14ac:dyDescent="0.25">
      <c r="A88" s="38">
        <v>37</v>
      </c>
      <c r="B88" s="39" t="s">
        <v>122</v>
      </c>
      <c r="C88" s="40" t="s">
        <v>123</v>
      </c>
      <c r="D88" s="40" t="s">
        <v>55</v>
      </c>
      <c r="E88" s="40" t="s">
        <v>55</v>
      </c>
      <c r="F88" s="40" t="s">
        <v>55</v>
      </c>
      <c r="G88" s="38">
        <v>5</v>
      </c>
      <c r="H88" s="40">
        <v>11764.71</v>
      </c>
      <c r="I88" s="40">
        <v>0</v>
      </c>
      <c r="J88" s="41" t="str" cm="1">
        <f t="array" ref="J88">IF($V88="","",IFERROR(INDEX(Articulacion!G:G,$V88),0))</f>
        <v/>
      </c>
      <c r="K88" s="41" t="str" cm="1">
        <f t="array" ref="K88">IF($V88="","",IFERROR(INDEX(Articulacion!H:H,$V88),0))</f>
        <v/>
      </c>
      <c r="L88" s="41" t="str" cm="1">
        <f t="array" ref="L88">IF($V88="","",IFERROR(INDEX(Articulacion!I:I,$V88),0))</f>
        <v/>
      </c>
      <c r="M88" s="41" t="str" cm="1">
        <f t="array" ref="M88">IF($V88="","",IFERROR(INDEX(Articulacion!J:J,$V88),0))</f>
        <v/>
      </c>
      <c r="N88" s="41" t="str" cm="1">
        <f t="array" ref="N88">IF($V88="","",IFERROR(INDEX(Articulacion!K:K,$V88),0))</f>
        <v/>
      </c>
      <c r="O88" s="41" t="str" cm="1">
        <f t="array" ref="O88">IF($V88="","",IFERROR(INDEX(Articulacion!L:L,$V88),0))</f>
        <v/>
      </c>
      <c r="P88" s="41" t="str" cm="1">
        <f t="array" ref="P88">IF($V88="","",IFERROR(INDEX(Articulacion!M:M,$V88),0))</f>
        <v/>
      </c>
      <c r="Q88" s="41" t="str" cm="1">
        <f t="array" ref="Q88">IF($V88="","",IFERROR(INDEX(Articulacion!N:N,$V88),0))</f>
        <v/>
      </c>
      <c r="R88" s="41" t="str" cm="1">
        <f t="array" ref="R88">IF($V88="","",IFERROR(INDEX(Articulacion!O:O,$V88),0))</f>
        <v/>
      </c>
      <c r="S88" s="41" t="str" cm="1">
        <f t="array" ref="S88">IF($V88="","",IFERROR(INDEX(Articulacion!P:P,$V88),0))</f>
        <v/>
      </c>
      <c r="T88" s="41" t="str" cm="1">
        <f t="array" ref="T88">IF($V88="","",IFERROR(INDEX(Articulacion!Q:Q,$V88),0))</f>
        <v/>
      </c>
      <c r="U88" s="48">
        <f t="shared" si="4"/>
        <v>0</v>
      </c>
      <c r="V88" s="49"/>
      <c r="W88" s="40"/>
      <c r="X88" s="40"/>
      <c r="Y88" s="40"/>
      <c r="Z88" s="40"/>
      <c r="AA88" s="40"/>
      <c r="AB88" s="40"/>
      <c r="AC88" s="40"/>
      <c r="AD88" s="40"/>
      <c r="AE88" s="40"/>
      <c r="AF88" s="40"/>
      <c r="AG88" s="40"/>
      <c r="AH88" s="40"/>
      <c r="AI88" s="40"/>
      <c r="AJ88" s="40"/>
      <c r="AK88" s="40"/>
      <c r="AL88" s="40"/>
      <c r="AM88" s="40"/>
      <c r="AN88" s="40">
        <v>2</v>
      </c>
      <c r="AO88" s="40">
        <v>1</v>
      </c>
      <c r="AP88" s="40">
        <v>1</v>
      </c>
      <c r="AQ88" s="40">
        <v>1</v>
      </c>
      <c r="AR88" s="40"/>
      <c r="AS88" s="40"/>
      <c r="AT88" s="40"/>
      <c r="AU88" s="40"/>
      <c r="AV88" s="40"/>
      <c r="AW88" s="40"/>
      <c r="AX88" s="46">
        <f t="shared" si="5"/>
        <v>5</v>
      </c>
      <c r="AY88" s="42">
        <f t="shared" si="6"/>
        <v>0</v>
      </c>
    </row>
    <row r="89" spans="1:51" x14ac:dyDescent="0.25">
      <c r="A89" s="38">
        <v>89</v>
      </c>
      <c r="B89" s="39" t="s">
        <v>91</v>
      </c>
      <c r="C89" s="40" t="s">
        <v>223</v>
      </c>
      <c r="D89" s="40" t="s">
        <v>55</v>
      </c>
      <c r="E89" s="40" t="s">
        <v>55</v>
      </c>
      <c r="F89" s="40" t="s">
        <v>55</v>
      </c>
      <c r="G89" s="38">
        <v>15</v>
      </c>
      <c r="H89" s="40">
        <v>71428.570000000007</v>
      </c>
      <c r="I89" s="40">
        <v>0</v>
      </c>
      <c r="J89" s="41" t="str" cm="1">
        <f t="array" ref="J89">IF($V89="","",IFERROR(INDEX(Articulacion!G:G,$V89),0))</f>
        <v/>
      </c>
      <c r="K89" s="41" t="str" cm="1">
        <f t="array" ref="K89">IF($V89="","",IFERROR(INDEX(Articulacion!H:H,$V89),0))</f>
        <v/>
      </c>
      <c r="L89" s="41" t="str" cm="1">
        <f t="array" ref="L89">IF($V89="","",IFERROR(INDEX(Articulacion!I:I,$V89),0))</f>
        <v/>
      </c>
      <c r="M89" s="41" t="str" cm="1">
        <f t="array" ref="M89">IF($V89="","",IFERROR(INDEX(Articulacion!J:J,$V89),0))</f>
        <v/>
      </c>
      <c r="N89" s="41" t="str" cm="1">
        <f t="array" ref="N89">IF($V89="","",IFERROR(INDEX(Articulacion!K:K,$V89),0))</f>
        <v/>
      </c>
      <c r="O89" s="41" t="str" cm="1">
        <f t="array" ref="O89">IF($V89="","",IFERROR(INDEX(Articulacion!L:L,$V89),0))</f>
        <v/>
      </c>
      <c r="P89" s="41" t="str" cm="1">
        <f t="array" ref="P89">IF($V89="","",IFERROR(INDEX(Articulacion!M:M,$V89),0))</f>
        <v/>
      </c>
      <c r="Q89" s="41" t="str" cm="1">
        <f t="array" ref="Q89">IF($V89="","",IFERROR(INDEX(Articulacion!N:N,$V89),0))</f>
        <v/>
      </c>
      <c r="R89" s="41" t="str" cm="1">
        <f t="array" ref="R89">IF($V89="","",IFERROR(INDEX(Articulacion!O:O,$V89),0))</f>
        <v/>
      </c>
      <c r="S89" s="41" t="str" cm="1">
        <f t="array" ref="S89">IF($V89="","",IFERROR(INDEX(Articulacion!P:P,$V89),0))</f>
        <v/>
      </c>
      <c r="T89" s="41" t="str" cm="1">
        <f t="array" ref="T89">IF($V89="","",IFERROR(INDEX(Articulacion!Q:Q,$V89),0))</f>
        <v/>
      </c>
      <c r="U89" s="48">
        <f t="shared" si="4"/>
        <v>0</v>
      </c>
      <c r="V89" s="49"/>
      <c r="W89" s="40">
        <v>7</v>
      </c>
      <c r="X89" s="40">
        <v>8</v>
      </c>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6">
        <f t="shared" si="5"/>
        <v>15</v>
      </c>
      <c r="AY89" s="42">
        <f t="shared" si="6"/>
        <v>0</v>
      </c>
    </row>
    <row r="90" spans="1:51" x14ac:dyDescent="0.25">
      <c r="A90" s="38">
        <v>28</v>
      </c>
      <c r="B90" s="39" t="s">
        <v>105</v>
      </c>
      <c r="C90" s="40" t="s">
        <v>106</v>
      </c>
      <c r="D90" s="40" t="s">
        <v>55</v>
      </c>
      <c r="E90" s="40" t="s">
        <v>55</v>
      </c>
      <c r="F90" s="40" t="s">
        <v>55</v>
      </c>
      <c r="G90" s="38">
        <v>8</v>
      </c>
      <c r="H90" s="40">
        <v>33613.449999999997</v>
      </c>
      <c r="I90" s="40">
        <v>0</v>
      </c>
      <c r="J90" s="41" t="str" cm="1">
        <f t="array" ref="J90">IF($V90="","",IFERROR(INDEX(Articulacion!G:G,$V90),0))</f>
        <v/>
      </c>
      <c r="K90" s="41" t="str" cm="1">
        <f t="array" ref="K90">IF($V90="","",IFERROR(INDEX(Articulacion!H:H,$V90),0))</f>
        <v/>
      </c>
      <c r="L90" s="41" t="str" cm="1">
        <f t="array" ref="L90">IF($V90="","",IFERROR(INDEX(Articulacion!I:I,$V90),0))</f>
        <v/>
      </c>
      <c r="M90" s="41" t="str" cm="1">
        <f t="array" ref="M90">IF($V90="","",IFERROR(INDEX(Articulacion!J:J,$V90),0))</f>
        <v/>
      </c>
      <c r="N90" s="41" t="str" cm="1">
        <f t="array" ref="N90">IF($V90="","",IFERROR(INDEX(Articulacion!K:K,$V90),0))</f>
        <v/>
      </c>
      <c r="O90" s="41" t="str" cm="1">
        <f t="array" ref="O90">IF($V90="","",IFERROR(INDEX(Articulacion!L:L,$V90),0))</f>
        <v/>
      </c>
      <c r="P90" s="41" t="str" cm="1">
        <f t="array" ref="P90">IF($V90="","",IFERROR(INDEX(Articulacion!M:M,$V90),0))</f>
        <v/>
      </c>
      <c r="Q90" s="41" t="str" cm="1">
        <f t="array" ref="Q90">IF($V90="","",IFERROR(INDEX(Articulacion!N:N,$V90),0))</f>
        <v/>
      </c>
      <c r="R90" s="41" t="str" cm="1">
        <f t="array" ref="R90">IF($V90="","",IFERROR(INDEX(Articulacion!O:O,$V90),0))</f>
        <v/>
      </c>
      <c r="S90" s="41" t="str" cm="1">
        <f t="array" ref="S90">IF($V90="","",IFERROR(INDEX(Articulacion!P:P,$V90),0))</f>
        <v/>
      </c>
      <c r="T90" s="41" t="str" cm="1">
        <f t="array" ref="T90">IF($V90="","",IFERROR(INDEX(Articulacion!Q:Q,$V90),0))</f>
        <v/>
      </c>
      <c r="U90" s="48">
        <f t="shared" si="4"/>
        <v>0</v>
      </c>
      <c r="V90" s="49"/>
      <c r="W90" s="40">
        <v>1</v>
      </c>
      <c r="X90" s="40">
        <v>1</v>
      </c>
      <c r="Y90" s="40">
        <v>1</v>
      </c>
      <c r="Z90" s="40">
        <v>1</v>
      </c>
      <c r="AA90" s="40">
        <v>1</v>
      </c>
      <c r="AB90" s="40">
        <v>1</v>
      </c>
      <c r="AC90" s="40">
        <v>1</v>
      </c>
      <c r="AD90" s="40">
        <v>1</v>
      </c>
      <c r="AE90" s="40"/>
      <c r="AF90" s="40"/>
      <c r="AG90" s="40"/>
      <c r="AH90" s="40"/>
      <c r="AI90" s="40"/>
      <c r="AJ90" s="40"/>
      <c r="AK90" s="40"/>
      <c r="AL90" s="40"/>
      <c r="AM90" s="40"/>
      <c r="AN90" s="40"/>
      <c r="AO90" s="40"/>
      <c r="AP90" s="40"/>
      <c r="AQ90" s="40"/>
      <c r="AR90" s="40"/>
      <c r="AS90" s="40"/>
      <c r="AT90" s="40"/>
      <c r="AU90" s="40"/>
      <c r="AV90" s="40"/>
      <c r="AW90" s="40"/>
      <c r="AX90" s="46">
        <f t="shared" si="5"/>
        <v>8</v>
      </c>
      <c r="AY90" s="42">
        <f t="shared" si="6"/>
        <v>0</v>
      </c>
    </row>
    <row r="91" spans="1:51" x14ac:dyDescent="0.25">
      <c r="A91" s="38">
        <v>36</v>
      </c>
      <c r="B91" s="39" t="s">
        <v>120</v>
      </c>
      <c r="C91" s="40" t="s">
        <v>121</v>
      </c>
      <c r="D91" s="40" t="s">
        <v>55</v>
      </c>
      <c r="E91" s="40" t="s">
        <v>55</v>
      </c>
      <c r="F91" s="40" t="s">
        <v>55</v>
      </c>
      <c r="G91" s="38">
        <v>10</v>
      </c>
      <c r="H91" s="40">
        <v>10084.030000000001</v>
      </c>
      <c r="I91" s="40">
        <v>0</v>
      </c>
      <c r="J91" s="41" t="str" cm="1">
        <f t="array" ref="J91">IF($V91="","",IFERROR(INDEX(Articulacion!G:G,$V91),0))</f>
        <v/>
      </c>
      <c r="K91" s="41" t="str" cm="1">
        <f t="array" ref="K91">IF($V91="","",IFERROR(INDEX(Articulacion!H:H,$V91),0))</f>
        <v/>
      </c>
      <c r="L91" s="41" t="str" cm="1">
        <f t="array" ref="L91">IF($V91="","",IFERROR(INDEX(Articulacion!I:I,$V91),0))</f>
        <v/>
      </c>
      <c r="M91" s="41" t="str" cm="1">
        <f t="array" ref="M91">IF($V91="","",IFERROR(INDEX(Articulacion!J:J,$V91),0))</f>
        <v/>
      </c>
      <c r="N91" s="41" t="str" cm="1">
        <f t="array" ref="N91">IF($V91="","",IFERROR(INDEX(Articulacion!K:K,$V91),0))</f>
        <v/>
      </c>
      <c r="O91" s="41" t="str" cm="1">
        <f t="array" ref="O91">IF($V91="","",IFERROR(INDEX(Articulacion!L:L,$V91),0))</f>
        <v/>
      </c>
      <c r="P91" s="41" t="str" cm="1">
        <f t="array" ref="P91">IF($V91="","",IFERROR(INDEX(Articulacion!M:M,$V91),0))</f>
        <v/>
      </c>
      <c r="Q91" s="41" t="str" cm="1">
        <f t="array" ref="Q91">IF($V91="","",IFERROR(INDEX(Articulacion!N:N,$V91),0))</f>
        <v/>
      </c>
      <c r="R91" s="41" t="str" cm="1">
        <f t="array" ref="R91">IF($V91="","",IFERROR(INDEX(Articulacion!O:O,$V91),0))</f>
        <v/>
      </c>
      <c r="S91" s="41" t="str" cm="1">
        <f t="array" ref="S91">IF($V91="","",IFERROR(INDEX(Articulacion!P:P,$V91),0))</f>
        <v/>
      </c>
      <c r="T91" s="41" t="str" cm="1">
        <f t="array" ref="T91">IF($V91="","",IFERROR(INDEX(Articulacion!Q:Q,$V91),0))</f>
        <v/>
      </c>
      <c r="U91" s="48">
        <f t="shared" si="4"/>
        <v>0</v>
      </c>
      <c r="V91" s="49"/>
      <c r="W91" s="40">
        <v>1</v>
      </c>
      <c r="X91" s="40">
        <v>1</v>
      </c>
      <c r="Y91" s="40">
        <v>1</v>
      </c>
      <c r="Z91" s="40">
        <v>1</v>
      </c>
      <c r="AA91" s="40">
        <v>1</v>
      </c>
      <c r="AB91" s="40">
        <v>1</v>
      </c>
      <c r="AC91" s="40">
        <v>1</v>
      </c>
      <c r="AD91" s="40">
        <v>1</v>
      </c>
      <c r="AE91" s="40">
        <v>1</v>
      </c>
      <c r="AF91" s="40">
        <v>1</v>
      </c>
      <c r="AG91" s="40"/>
      <c r="AH91" s="40"/>
      <c r="AI91" s="40"/>
      <c r="AJ91" s="40"/>
      <c r="AK91" s="40"/>
      <c r="AL91" s="40"/>
      <c r="AM91" s="40"/>
      <c r="AN91" s="40"/>
      <c r="AO91" s="40"/>
      <c r="AP91" s="40"/>
      <c r="AQ91" s="40"/>
      <c r="AR91" s="40"/>
      <c r="AS91" s="40"/>
      <c r="AT91" s="40"/>
      <c r="AU91" s="40"/>
      <c r="AV91" s="40"/>
      <c r="AW91" s="40"/>
      <c r="AX91" s="46">
        <f t="shared" si="5"/>
        <v>10</v>
      </c>
      <c r="AY91" s="42">
        <f t="shared" si="6"/>
        <v>0</v>
      </c>
    </row>
    <row r="92" spans="1:51" x14ac:dyDescent="0.25">
      <c r="A92" s="38">
        <v>21</v>
      </c>
      <c r="B92" s="39" t="s">
        <v>93</v>
      </c>
      <c r="C92" s="40" t="s">
        <v>94</v>
      </c>
      <c r="D92" s="40" t="s">
        <v>55</v>
      </c>
      <c r="E92" s="40" t="s">
        <v>55</v>
      </c>
      <c r="F92" s="40" t="s">
        <v>55</v>
      </c>
      <c r="G92" s="38">
        <v>10</v>
      </c>
      <c r="H92" s="40">
        <v>3781.51</v>
      </c>
      <c r="I92" s="40">
        <v>0</v>
      </c>
      <c r="J92" s="41" t="str" cm="1">
        <f t="array" ref="J92">IF($V92="","",IFERROR(INDEX(Articulacion!G:G,$V92),0))</f>
        <v/>
      </c>
      <c r="K92" s="41" t="str" cm="1">
        <f t="array" ref="K92">IF($V92="","",IFERROR(INDEX(Articulacion!H:H,$V92),0))</f>
        <v/>
      </c>
      <c r="L92" s="41" t="str" cm="1">
        <f t="array" ref="L92">IF($V92="","",IFERROR(INDEX(Articulacion!I:I,$V92),0))</f>
        <v/>
      </c>
      <c r="M92" s="41" t="str" cm="1">
        <f t="array" ref="M92">IF($V92="","",IFERROR(INDEX(Articulacion!J:J,$V92),0))</f>
        <v/>
      </c>
      <c r="N92" s="41" t="str" cm="1">
        <f t="array" ref="N92">IF($V92="","",IFERROR(INDEX(Articulacion!K:K,$V92),0))</f>
        <v/>
      </c>
      <c r="O92" s="41" t="str" cm="1">
        <f t="array" ref="O92">IF($V92="","",IFERROR(INDEX(Articulacion!L:L,$V92),0))</f>
        <v/>
      </c>
      <c r="P92" s="41" t="str" cm="1">
        <f t="array" ref="P92">IF($V92="","",IFERROR(INDEX(Articulacion!M:M,$V92),0))</f>
        <v/>
      </c>
      <c r="Q92" s="41" t="str" cm="1">
        <f t="array" ref="Q92">IF($V92="","",IFERROR(INDEX(Articulacion!N:N,$V92),0))</f>
        <v/>
      </c>
      <c r="R92" s="41" t="str" cm="1">
        <f t="array" ref="R92">IF($V92="","",IFERROR(INDEX(Articulacion!O:O,$V92),0))</f>
        <v/>
      </c>
      <c r="S92" s="41" t="str" cm="1">
        <f t="array" ref="S92">IF($V92="","",IFERROR(INDEX(Articulacion!P:P,$V92),0))</f>
        <v/>
      </c>
      <c r="T92" s="41" t="str" cm="1">
        <f t="array" ref="T92">IF($V92="","",IFERROR(INDEX(Articulacion!Q:Q,$V92),0))</f>
        <v/>
      </c>
      <c r="U92" s="48">
        <f t="shared" si="4"/>
        <v>0</v>
      </c>
      <c r="V92" s="49"/>
      <c r="W92" s="40">
        <v>1</v>
      </c>
      <c r="X92" s="40">
        <v>1</v>
      </c>
      <c r="Y92" s="40">
        <v>1</v>
      </c>
      <c r="Z92" s="40">
        <v>1</v>
      </c>
      <c r="AA92" s="40">
        <v>1</v>
      </c>
      <c r="AB92" s="40">
        <v>1</v>
      </c>
      <c r="AC92" s="40">
        <v>1</v>
      </c>
      <c r="AD92" s="40">
        <v>1</v>
      </c>
      <c r="AE92" s="40">
        <v>1</v>
      </c>
      <c r="AF92" s="40">
        <v>1</v>
      </c>
      <c r="AG92" s="40"/>
      <c r="AH92" s="40"/>
      <c r="AI92" s="40"/>
      <c r="AJ92" s="40"/>
      <c r="AK92" s="40"/>
      <c r="AL92" s="40"/>
      <c r="AM92" s="40"/>
      <c r="AN92" s="40"/>
      <c r="AO92" s="40"/>
      <c r="AP92" s="40"/>
      <c r="AQ92" s="40"/>
      <c r="AR92" s="40"/>
      <c r="AS92" s="40"/>
      <c r="AT92" s="40"/>
      <c r="AU92" s="40"/>
      <c r="AV92" s="40"/>
      <c r="AW92" s="40"/>
      <c r="AX92" s="46">
        <f t="shared" si="5"/>
        <v>10</v>
      </c>
      <c r="AY92" s="42">
        <f t="shared" si="6"/>
        <v>0</v>
      </c>
    </row>
    <row r="93" spans="1:51" x14ac:dyDescent="0.25">
      <c r="A93" s="38">
        <v>35</v>
      </c>
      <c r="B93" s="39" t="s">
        <v>118</v>
      </c>
      <c r="C93" s="40" t="s">
        <v>119</v>
      </c>
      <c r="D93" s="40" t="s">
        <v>55</v>
      </c>
      <c r="E93" s="40" t="s">
        <v>55</v>
      </c>
      <c r="F93" s="40" t="s">
        <v>55</v>
      </c>
      <c r="G93" s="38">
        <v>10</v>
      </c>
      <c r="H93" s="40">
        <v>11764.71</v>
      </c>
      <c r="I93" s="40">
        <v>0</v>
      </c>
      <c r="J93" s="41" t="str" cm="1">
        <f t="array" ref="J93">IF($V93="","",IFERROR(INDEX(Articulacion!G:G,$V93),0))</f>
        <v/>
      </c>
      <c r="K93" s="41" t="str" cm="1">
        <f t="array" ref="K93">IF($V93="","",IFERROR(INDEX(Articulacion!H:H,$V93),0))</f>
        <v/>
      </c>
      <c r="L93" s="41" t="str" cm="1">
        <f t="array" ref="L93">IF($V93="","",IFERROR(INDEX(Articulacion!I:I,$V93),0))</f>
        <v/>
      </c>
      <c r="M93" s="41" t="str" cm="1">
        <f t="array" ref="M93">IF($V93="","",IFERROR(INDEX(Articulacion!J:J,$V93),0))</f>
        <v/>
      </c>
      <c r="N93" s="41" t="str" cm="1">
        <f t="array" ref="N93">IF($V93="","",IFERROR(INDEX(Articulacion!K:K,$V93),0))</f>
        <v/>
      </c>
      <c r="O93" s="41" t="str" cm="1">
        <f t="array" ref="O93">IF($V93="","",IFERROR(INDEX(Articulacion!L:L,$V93),0))</f>
        <v/>
      </c>
      <c r="P93" s="41" t="str" cm="1">
        <f t="array" ref="P93">IF($V93="","",IFERROR(INDEX(Articulacion!M:M,$V93),0))</f>
        <v/>
      </c>
      <c r="Q93" s="41" t="str" cm="1">
        <f t="array" ref="Q93">IF($V93="","",IFERROR(INDEX(Articulacion!N:N,$V93),0))</f>
        <v/>
      </c>
      <c r="R93" s="41" t="str" cm="1">
        <f t="array" ref="R93">IF($V93="","",IFERROR(INDEX(Articulacion!O:O,$V93),0))</f>
        <v/>
      </c>
      <c r="S93" s="41" t="str" cm="1">
        <f t="array" ref="S93">IF($V93="","",IFERROR(INDEX(Articulacion!P:P,$V93),0))</f>
        <v/>
      </c>
      <c r="T93" s="41" t="str" cm="1">
        <f t="array" ref="T93">IF($V93="","",IFERROR(INDEX(Articulacion!Q:Q,$V93),0))</f>
        <v/>
      </c>
      <c r="U93" s="48">
        <f t="shared" si="4"/>
        <v>0</v>
      </c>
      <c r="V93" s="49"/>
      <c r="W93" s="40"/>
      <c r="X93" s="40"/>
      <c r="Y93" s="40"/>
      <c r="Z93" s="40"/>
      <c r="AA93" s="40"/>
      <c r="AB93" s="40"/>
      <c r="AC93" s="40"/>
      <c r="AD93" s="40"/>
      <c r="AE93" s="40"/>
      <c r="AF93" s="40"/>
      <c r="AG93" s="40">
        <v>1</v>
      </c>
      <c r="AH93" s="40">
        <v>1</v>
      </c>
      <c r="AI93" s="40">
        <v>1</v>
      </c>
      <c r="AJ93" s="40">
        <v>1</v>
      </c>
      <c r="AK93" s="40">
        <v>1</v>
      </c>
      <c r="AL93" s="40">
        <v>1</v>
      </c>
      <c r="AM93" s="40">
        <v>1</v>
      </c>
      <c r="AN93" s="40">
        <v>2</v>
      </c>
      <c r="AO93" s="40">
        <v>1</v>
      </c>
      <c r="AP93" s="40"/>
      <c r="AQ93" s="40"/>
      <c r="AR93" s="40"/>
      <c r="AS93" s="40"/>
      <c r="AT93" s="40"/>
      <c r="AU93" s="40"/>
      <c r="AV93" s="40"/>
      <c r="AW93" s="40"/>
      <c r="AX93" s="46">
        <f t="shared" si="5"/>
        <v>10</v>
      </c>
      <c r="AY93" s="42">
        <f t="shared" si="6"/>
        <v>0</v>
      </c>
    </row>
    <row r="94" spans="1:51" x14ac:dyDescent="0.25">
      <c r="A94" s="38">
        <v>34</v>
      </c>
      <c r="B94" s="39" t="s">
        <v>116</v>
      </c>
      <c r="C94" s="40" t="s">
        <v>117</v>
      </c>
      <c r="D94" s="40" t="s">
        <v>55</v>
      </c>
      <c r="E94" s="40" t="s">
        <v>55</v>
      </c>
      <c r="F94" s="40" t="s">
        <v>55</v>
      </c>
      <c r="G94" s="38">
        <v>10</v>
      </c>
      <c r="H94" s="40">
        <v>10084.030000000001</v>
      </c>
      <c r="I94" s="40">
        <v>0</v>
      </c>
      <c r="J94" s="41" t="str" cm="1">
        <f t="array" ref="J94">IF($V94="","",IFERROR(INDEX(Articulacion!G:G,$V94),0))</f>
        <v/>
      </c>
      <c r="K94" s="41" t="str" cm="1">
        <f t="array" ref="K94">IF($V94="","",IFERROR(INDEX(Articulacion!H:H,$V94),0))</f>
        <v/>
      </c>
      <c r="L94" s="41" t="str" cm="1">
        <f t="array" ref="L94">IF($V94="","",IFERROR(INDEX(Articulacion!I:I,$V94),0))</f>
        <v/>
      </c>
      <c r="M94" s="41" t="str" cm="1">
        <f t="array" ref="M94">IF($V94="","",IFERROR(INDEX(Articulacion!J:J,$V94),0))</f>
        <v/>
      </c>
      <c r="N94" s="41" t="str" cm="1">
        <f t="array" ref="N94">IF($V94="","",IFERROR(INDEX(Articulacion!K:K,$V94),0))</f>
        <v/>
      </c>
      <c r="O94" s="41" t="str" cm="1">
        <f t="array" ref="O94">IF($V94="","",IFERROR(INDEX(Articulacion!L:L,$V94),0))</f>
        <v/>
      </c>
      <c r="P94" s="41" t="str" cm="1">
        <f t="array" ref="P94">IF($V94="","",IFERROR(INDEX(Articulacion!M:M,$V94),0))</f>
        <v/>
      </c>
      <c r="Q94" s="41" t="str" cm="1">
        <f t="array" ref="Q94">IF($V94="","",IFERROR(INDEX(Articulacion!N:N,$V94),0))</f>
        <v/>
      </c>
      <c r="R94" s="41" t="str" cm="1">
        <f t="array" ref="R94">IF($V94="","",IFERROR(INDEX(Articulacion!O:O,$V94),0))</f>
        <v/>
      </c>
      <c r="S94" s="41" t="str" cm="1">
        <f t="array" ref="S94">IF($V94="","",IFERROR(INDEX(Articulacion!P:P,$V94),0))</f>
        <v/>
      </c>
      <c r="T94" s="41" t="str" cm="1">
        <f t="array" ref="T94">IF($V94="","",IFERROR(INDEX(Articulacion!Q:Q,$V94),0))</f>
        <v/>
      </c>
      <c r="U94" s="48">
        <f t="shared" si="4"/>
        <v>0</v>
      </c>
      <c r="V94" s="49"/>
      <c r="W94" s="41"/>
      <c r="X94" s="41"/>
      <c r="Y94" s="41"/>
      <c r="Z94" s="41"/>
      <c r="AA94" s="41"/>
      <c r="AB94" s="41"/>
      <c r="AC94" s="41"/>
      <c r="AD94" s="41"/>
      <c r="AE94" s="41"/>
      <c r="AF94" s="41"/>
      <c r="AG94" s="41"/>
      <c r="AH94" s="41"/>
      <c r="AI94" s="41"/>
      <c r="AJ94" s="41"/>
      <c r="AK94" s="41"/>
      <c r="AL94" s="41"/>
      <c r="AM94" s="41"/>
      <c r="AN94" s="41">
        <v>1</v>
      </c>
      <c r="AO94" s="41">
        <v>1</v>
      </c>
      <c r="AP94" s="41">
        <v>1</v>
      </c>
      <c r="AQ94" s="41">
        <v>1</v>
      </c>
      <c r="AR94" s="41">
        <v>1</v>
      </c>
      <c r="AS94" s="41">
        <v>1</v>
      </c>
      <c r="AT94" s="41">
        <v>1</v>
      </c>
      <c r="AU94" s="41">
        <v>1</v>
      </c>
      <c r="AV94" s="41">
        <v>1</v>
      </c>
      <c r="AW94" s="41">
        <v>1</v>
      </c>
      <c r="AX94" s="46">
        <f t="shared" si="5"/>
        <v>10</v>
      </c>
      <c r="AY94" s="42">
        <f t="shared" si="6"/>
        <v>0</v>
      </c>
    </row>
    <row r="95" spans="1:51" x14ac:dyDescent="0.25">
      <c r="A95" s="38">
        <v>88</v>
      </c>
      <c r="B95" s="39" t="s">
        <v>221</v>
      </c>
      <c r="C95" s="40" t="s">
        <v>222</v>
      </c>
      <c r="D95" s="40" t="s">
        <v>55</v>
      </c>
      <c r="E95" s="40" t="s">
        <v>55</v>
      </c>
      <c r="F95" s="40" t="s">
        <v>55</v>
      </c>
      <c r="G95" s="38">
        <v>30</v>
      </c>
      <c r="H95" s="40">
        <v>6722.69</v>
      </c>
      <c r="I95" s="40">
        <v>0</v>
      </c>
      <c r="J95" s="41" t="str" cm="1">
        <f t="array" ref="J95">IF($V95="","",IFERROR(INDEX(Articulacion!G:G,$V95),0))</f>
        <v/>
      </c>
      <c r="K95" s="41" t="str" cm="1">
        <f t="array" ref="K95">IF($V95="","",IFERROR(INDEX(Articulacion!H:H,$V95),0))</f>
        <v/>
      </c>
      <c r="L95" s="41" t="str" cm="1">
        <f t="array" ref="L95">IF($V95="","",IFERROR(INDEX(Articulacion!I:I,$V95),0))</f>
        <v/>
      </c>
      <c r="M95" s="41" t="str" cm="1">
        <f t="array" ref="M95">IF($V95="","",IFERROR(INDEX(Articulacion!J:J,$V95),0))</f>
        <v/>
      </c>
      <c r="N95" s="41" t="str" cm="1">
        <f t="array" ref="N95">IF($V95="","",IFERROR(INDEX(Articulacion!K:K,$V95),0))</f>
        <v/>
      </c>
      <c r="O95" s="41" t="str" cm="1">
        <f t="array" ref="O95">IF($V95="","",IFERROR(INDEX(Articulacion!L:L,$V95),0))</f>
        <v/>
      </c>
      <c r="P95" s="41" t="str" cm="1">
        <f t="array" ref="P95">IF($V95="","",IFERROR(INDEX(Articulacion!M:M,$V95),0))</f>
        <v/>
      </c>
      <c r="Q95" s="41" t="str" cm="1">
        <f t="array" ref="Q95">IF($V95="","",IFERROR(INDEX(Articulacion!N:N,$V95),0))</f>
        <v/>
      </c>
      <c r="R95" s="41" t="str" cm="1">
        <f t="array" ref="R95">IF($V95="","",IFERROR(INDEX(Articulacion!O:O,$V95),0))</f>
        <v/>
      </c>
      <c r="S95" s="41" t="str" cm="1">
        <f t="array" ref="S95">IF($V95="","",IFERROR(INDEX(Articulacion!P:P,$V95),0))</f>
        <v/>
      </c>
      <c r="T95" s="41" t="str" cm="1">
        <f t="array" ref="T95">IF($V95="","",IFERROR(INDEX(Articulacion!Q:Q,$V95),0))</f>
        <v/>
      </c>
      <c r="U95" s="48">
        <f t="shared" si="4"/>
        <v>0</v>
      </c>
      <c r="V95" s="49"/>
      <c r="W95" s="40">
        <v>15</v>
      </c>
      <c r="X95" s="40">
        <v>15</v>
      </c>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6">
        <f t="shared" si="5"/>
        <v>30</v>
      </c>
      <c r="AY95" s="42">
        <f t="shared" si="6"/>
        <v>0</v>
      </c>
    </row>
    <row r="96" spans="1:51" x14ac:dyDescent="0.25">
      <c r="A96" s="38">
        <v>1</v>
      </c>
      <c r="B96" s="39" t="s">
        <v>53</v>
      </c>
      <c r="C96" s="40" t="s">
        <v>54</v>
      </c>
      <c r="D96" s="40" t="s">
        <v>55</v>
      </c>
      <c r="E96" s="40" t="s">
        <v>55</v>
      </c>
      <c r="F96" s="40" t="s">
        <v>55</v>
      </c>
      <c r="G96" s="38">
        <v>15</v>
      </c>
      <c r="H96" s="40">
        <v>21008.400000000001</v>
      </c>
      <c r="I96" s="40">
        <v>0</v>
      </c>
      <c r="J96" s="41" t="str" cm="1">
        <f t="array" ref="J96">IF($V96="","",IFERROR(INDEX(Articulacion!G:G,$V96),0))</f>
        <v/>
      </c>
      <c r="K96" s="41" t="str" cm="1">
        <f t="array" ref="K96">IF($V96="","",IFERROR(INDEX(Articulacion!H:H,$V96),0))</f>
        <v/>
      </c>
      <c r="L96" s="41" t="str" cm="1">
        <f t="array" ref="L96">IF($V96="","",IFERROR(INDEX(Articulacion!I:I,$V96),0))</f>
        <v/>
      </c>
      <c r="M96" s="41" t="str" cm="1">
        <f t="array" ref="M96">IF($V96="","",IFERROR(INDEX(Articulacion!J:J,$V96),0))</f>
        <v/>
      </c>
      <c r="N96" s="41" t="str" cm="1">
        <f t="array" ref="N96">IF($V96="","",IFERROR(INDEX(Articulacion!K:K,$V96),0))</f>
        <v/>
      </c>
      <c r="O96" s="41" t="str" cm="1">
        <f t="array" ref="O96">IF($V96="","",IFERROR(INDEX(Articulacion!L:L,$V96),0))</f>
        <v/>
      </c>
      <c r="P96" s="41" t="str" cm="1">
        <f t="array" ref="P96">IF($V96="","",IFERROR(INDEX(Articulacion!M:M,$V96),0))</f>
        <v/>
      </c>
      <c r="Q96" s="41" t="str" cm="1">
        <f t="array" ref="Q96">IF($V96="","",IFERROR(INDEX(Articulacion!N:N,$V96),0))</f>
        <v/>
      </c>
      <c r="R96" s="41" t="str" cm="1">
        <f t="array" ref="R96">IF($V96="","",IFERROR(INDEX(Articulacion!O:O,$V96),0))</f>
        <v/>
      </c>
      <c r="S96" s="41" t="str" cm="1">
        <f t="array" ref="S96">IF($V96="","",IFERROR(INDEX(Articulacion!P:P,$V96),0))</f>
        <v/>
      </c>
      <c r="T96" s="41" t="str" cm="1">
        <f t="array" ref="T96">IF($V96="","",IFERROR(INDEX(Articulacion!Q:Q,$V96),0))</f>
        <v/>
      </c>
      <c r="U96" s="48">
        <f t="shared" si="4"/>
        <v>0</v>
      </c>
      <c r="V96" s="49"/>
      <c r="W96" s="40"/>
      <c r="X96" s="40"/>
      <c r="Y96" s="40"/>
      <c r="Z96" s="40"/>
      <c r="AA96" s="40"/>
      <c r="AB96" s="40"/>
      <c r="AC96" s="40"/>
      <c r="AD96" s="40"/>
      <c r="AE96" s="40"/>
      <c r="AF96" s="40"/>
      <c r="AG96" s="40"/>
      <c r="AH96" s="40"/>
      <c r="AI96" s="40"/>
      <c r="AJ96" s="40">
        <v>1</v>
      </c>
      <c r="AK96" s="40">
        <v>1</v>
      </c>
      <c r="AL96" s="40">
        <v>1</v>
      </c>
      <c r="AM96" s="40">
        <v>1</v>
      </c>
      <c r="AN96" s="40">
        <v>2</v>
      </c>
      <c r="AO96" s="40">
        <v>1</v>
      </c>
      <c r="AP96" s="40">
        <v>1</v>
      </c>
      <c r="AQ96" s="40">
        <v>1</v>
      </c>
      <c r="AR96" s="40">
        <v>1</v>
      </c>
      <c r="AS96" s="40">
        <v>1</v>
      </c>
      <c r="AT96" s="40">
        <v>1</v>
      </c>
      <c r="AU96" s="40">
        <v>1</v>
      </c>
      <c r="AV96" s="40">
        <v>1</v>
      </c>
      <c r="AW96" s="40">
        <v>1</v>
      </c>
      <c r="AX96" s="46">
        <f t="shared" si="5"/>
        <v>15</v>
      </c>
      <c r="AY96" s="42">
        <f t="shared" si="6"/>
        <v>0</v>
      </c>
    </row>
    <row r="97" spans="20:51" x14ac:dyDescent="0.25">
      <c r="T97" s="25"/>
      <c r="U97" s="50"/>
      <c r="W97" s="43">
        <f t="shared" ref="W97:AX97" si="7">SUM(W3:W96)</f>
        <v>103</v>
      </c>
      <c r="X97" s="43">
        <f t="shared" si="7"/>
        <v>104</v>
      </c>
      <c r="Y97" s="43">
        <f t="shared" si="7"/>
        <v>36</v>
      </c>
      <c r="Z97" s="43">
        <f t="shared" si="7"/>
        <v>34</v>
      </c>
      <c r="AA97" s="43">
        <f t="shared" si="7"/>
        <v>33</v>
      </c>
      <c r="AB97" s="43">
        <f t="shared" si="7"/>
        <v>33</v>
      </c>
      <c r="AC97" s="43">
        <f t="shared" si="7"/>
        <v>33</v>
      </c>
      <c r="AD97" s="43">
        <f t="shared" si="7"/>
        <v>32</v>
      </c>
      <c r="AE97" s="43">
        <f t="shared" si="7"/>
        <v>31</v>
      </c>
      <c r="AF97" s="43">
        <f t="shared" si="7"/>
        <v>31</v>
      </c>
      <c r="AG97" s="43">
        <f t="shared" si="7"/>
        <v>24</v>
      </c>
      <c r="AH97" s="43">
        <f t="shared" si="7"/>
        <v>24</v>
      </c>
      <c r="AI97" s="43">
        <f t="shared" si="7"/>
        <v>27</v>
      </c>
      <c r="AJ97" s="43">
        <f t="shared" si="7"/>
        <v>29</v>
      </c>
      <c r="AK97" s="43">
        <f t="shared" si="7"/>
        <v>28</v>
      </c>
      <c r="AL97" s="43">
        <f t="shared" si="7"/>
        <v>26</v>
      </c>
      <c r="AM97" s="43">
        <f t="shared" si="7"/>
        <v>27</v>
      </c>
      <c r="AN97" s="43">
        <f t="shared" si="7"/>
        <v>54</v>
      </c>
      <c r="AO97" s="43">
        <f t="shared" si="7"/>
        <v>27</v>
      </c>
      <c r="AP97" s="43">
        <f t="shared" si="7"/>
        <v>23</v>
      </c>
      <c r="AQ97" s="43">
        <f t="shared" si="7"/>
        <v>51</v>
      </c>
      <c r="AR97" s="43">
        <f t="shared" si="7"/>
        <v>45</v>
      </c>
      <c r="AS97" s="43">
        <f t="shared" si="7"/>
        <v>22</v>
      </c>
      <c r="AT97" s="43">
        <f t="shared" si="7"/>
        <v>19</v>
      </c>
      <c r="AU97" s="43">
        <f t="shared" si="7"/>
        <v>17</v>
      </c>
      <c r="AV97" s="43">
        <f t="shared" si="7"/>
        <v>16</v>
      </c>
      <c r="AW97" s="43">
        <f t="shared" si="7"/>
        <v>13</v>
      </c>
      <c r="AX97" s="43">
        <f t="shared" si="7"/>
        <v>942</v>
      </c>
      <c r="AY97" s="42">
        <f t="shared" si="6"/>
        <v>-942</v>
      </c>
    </row>
    <row r="98" spans="20:51" x14ac:dyDescent="0.25">
      <c r="T98" s="25"/>
      <c r="U98" s="50"/>
      <c r="W98">
        <v>103</v>
      </c>
      <c r="X98">
        <v>104</v>
      </c>
      <c r="Y98">
        <v>36</v>
      </c>
      <c r="Z98">
        <v>34</v>
      </c>
      <c r="AA98">
        <v>33</v>
      </c>
      <c r="AB98">
        <v>33</v>
      </c>
      <c r="AC98">
        <v>33</v>
      </c>
      <c r="AD98">
        <v>32</v>
      </c>
      <c r="AE98">
        <v>31</v>
      </c>
      <c r="AF98">
        <v>31</v>
      </c>
      <c r="AG98">
        <v>24</v>
      </c>
      <c r="AH98">
        <v>24</v>
      </c>
      <c r="AI98">
        <v>27</v>
      </c>
      <c r="AJ98">
        <v>29</v>
      </c>
      <c r="AK98">
        <v>28</v>
      </c>
      <c r="AL98">
        <v>26</v>
      </c>
      <c r="AM98">
        <v>27</v>
      </c>
      <c r="AN98">
        <v>54</v>
      </c>
      <c r="AO98">
        <v>27</v>
      </c>
      <c r="AP98">
        <v>23</v>
      </c>
      <c r="AQ98">
        <v>51</v>
      </c>
      <c r="AR98">
        <v>45</v>
      </c>
      <c r="AS98">
        <v>22</v>
      </c>
      <c r="AT98">
        <v>19</v>
      </c>
      <c r="AU98">
        <v>17</v>
      </c>
      <c r="AV98">
        <v>16</v>
      </c>
      <c r="AW98">
        <v>13</v>
      </c>
      <c r="AX98" s="43">
        <f>SUM(W98:AW98)</f>
        <v>942</v>
      </c>
      <c r="AY98" s="42">
        <f t="shared" si="6"/>
        <v>-942</v>
      </c>
    </row>
    <row r="100" spans="20:51" x14ac:dyDescent="0.25">
      <c r="W100" s="43">
        <f>W97-W98</f>
        <v>0</v>
      </c>
      <c r="X100" s="43">
        <f t="shared" ref="X100:AW100" si="8">X97-X98</f>
        <v>0</v>
      </c>
      <c r="Y100" s="43">
        <f t="shared" si="8"/>
        <v>0</v>
      </c>
      <c r="Z100" s="43">
        <f t="shared" si="8"/>
        <v>0</v>
      </c>
      <c r="AA100" s="43">
        <f t="shared" si="8"/>
        <v>0</v>
      </c>
      <c r="AB100" s="43">
        <f t="shared" si="8"/>
        <v>0</v>
      </c>
      <c r="AC100" s="43">
        <f t="shared" si="8"/>
        <v>0</v>
      </c>
      <c r="AD100" s="43">
        <f t="shared" si="8"/>
        <v>0</v>
      </c>
      <c r="AE100" s="43">
        <f t="shared" si="8"/>
        <v>0</v>
      </c>
      <c r="AF100" s="43">
        <f t="shared" si="8"/>
        <v>0</v>
      </c>
      <c r="AG100" s="43">
        <f t="shared" si="8"/>
        <v>0</v>
      </c>
      <c r="AH100" s="43">
        <f t="shared" si="8"/>
        <v>0</v>
      </c>
      <c r="AI100" s="43">
        <f t="shared" si="8"/>
        <v>0</v>
      </c>
      <c r="AJ100" s="43">
        <f>AJ97-AJ98</f>
        <v>0</v>
      </c>
      <c r="AK100" s="43">
        <f t="shared" si="8"/>
        <v>0</v>
      </c>
      <c r="AL100" s="43">
        <f t="shared" si="8"/>
        <v>0</v>
      </c>
      <c r="AM100" s="43">
        <f t="shared" si="8"/>
        <v>0</v>
      </c>
      <c r="AN100" s="43">
        <f>AN97-AN98</f>
        <v>0</v>
      </c>
      <c r="AO100" s="43">
        <f t="shared" si="8"/>
        <v>0</v>
      </c>
      <c r="AP100" s="43">
        <f t="shared" si="8"/>
        <v>0</v>
      </c>
      <c r="AQ100" s="43">
        <f t="shared" si="8"/>
        <v>0</v>
      </c>
      <c r="AR100" s="43">
        <f t="shared" si="8"/>
        <v>0</v>
      </c>
      <c r="AS100" s="43">
        <f t="shared" si="8"/>
        <v>0</v>
      </c>
      <c r="AT100" s="43">
        <f t="shared" si="8"/>
        <v>0</v>
      </c>
      <c r="AU100" s="43">
        <f t="shared" si="8"/>
        <v>0</v>
      </c>
      <c r="AV100" s="43">
        <f t="shared" si="8"/>
        <v>0</v>
      </c>
      <c r="AW100" s="43">
        <f t="shared" si="8"/>
        <v>0</v>
      </c>
    </row>
  </sheetData>
  <autoFilter ref="A2:AY98" xr:uid="{00000000-0001-0000-0000-000000000000}">
    <sortState xmlns:xlrd2="http://schemas.microsoft.com/office/spreadsheetml/2017/richdata2" ref="A3:AY98">
      <sortCondition ref="C2:C98"/>
    </sortState>
  </autoFilter>
  <mergeCells count="2">
    <mergeCell ref="J1:V1"/>
    <mergeCell ref="W1:AV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B61A-5983-462C-A688-6B9318BD54BF}">
  <dimension ref="A1:R19"/>
  <sheetViews>
    <sheetView topLeftCell="A4" workbookViewId="0">
      <selection activeCell="X3" sqref="X3"/>
    </sheetView>
  </sheetViews>
  <sheetFormatPr baseColWidth="10" defaultColWidth="11.42578125" defaultRowHeight="15" x14ac:dyDescent="0.25"/>
  <cols>
    <col min="4" max="4" width="46.7109375" customWidth="1"/>
    <col min="6" max="6" width="14.7109375" customWidth="1"/>
  </cols>
  <sheetData>
    <row r="1" spans="1:18" ht="67.5" x14ac:dyDescent="0.25">
      <c r="A1" s="2" t="s">
        <v>2</v>
      </c>
      <c r="B1" s="2" t="s">
        <v>3</v>
      </c>
      <c r="C1" s="2" t="s">
        <v>234</v>
      </c>
      <c r="D1" s="3" t="s">
        <v>4</v>
      </c>
      <c r="E1" s="4" t="s">
        <v>235</v>
      </c>
      <c r="F1" s="4" t="s">
        <v>236</v>
      </c>
      <c r="G1" s="5" t="s">
        <v>11</v>
      </c>
      <c r="H1" s="5" t="s">
        <v>12</v>
      </c>
      <c r="I1" s="5" t="s">
        <v>13</v>
      </c>
      <c r="J1" s="6" t="s">
        <v>14</v>
      </c>
      <c r="K1" s="6" t="s">
        <v>15</v>
      </c>
      <c r="L1" s="6" t="s">
        <v>16</v>
      </c>
      <c r="M1" s="6" t="s">
        <v>237</v>
      </c>
      <c r="N1" s="7" t="s">
        <v>18</v>
      </c>
      <c r="O1" s="7" t="s">
        <v>19</v>
      </c>
      <c r="P1" s="7" t="s">
        <v>20</v>
      </c>
      <c r="Q1" s="7" t="s">
        <v>21</v>
      </c>
      <c r="R1" s="8" t="s">
        <v>238</v>
      </c>
    </row>
    <row r="2" spans="1:18" ht="67.5" x14ac:dyDescent="0.25">
      <c r="A2" s="9"/>
      <c r="B2" s="10">
        <v>1</v>
      </c>
      <c r="C2" s="11">
        <v>60105410</v>
      </c>
      <c r="D2" s="12" t="s">
        <v>239</v>
      </c>
      <c r="E2" s="13">
        <v>20</v>
      </c>
      <c r="F2" s="14">
        <v>8</v>
      </c>
      <c r="G2" s="9"/>
      <c r="H2" s="9"/>
      <c r="I2" s="9"/>
      <c r="J2" s="9">
        <v>2</v>
      </c>
      <c r="K2" s="9">
        <v>2</v>
      </c>
      <c r="L2" s="9">
        <v>2</v>
      </c>
      <c r="M2" s="9">
        <v>2</v>
      </c>
      <c r="N2" s="9"/>
      <c r="O2" s="9"/>
      <c r="P2" s="9"/>
      <c r="Q2" s="9"/>
      <c r="R2" s="15">
        <f t="shared" ref="R2:R18" si="0">SUM(G2:Q2)</f>
        <v>8</v>
      </c>
    </row>
    <row r="3" spans="1:18" ht="256.5" x14ac:dyDescent="0.25">
      <c r="A3" s="9"/>
      <c r="B3" s="10">
        <v>2</v>
      </c>
      <c r="C3" s="11">
        <v>44122003</v>
      </c>
      <c r="D3" s="12" t="s">
        <v>240</v>
      </c>
      <c r="E3" s="13">
        <v>87</v>
      </c>
      <c r="F3" s="14">
        <v>7</v>
      </c>
      <c r="G3" s="9">
        <v>1</v>
      </c>
      <c r="H3" s="9">
        <v>1</v>
      </c>
      <c r="I3" s="9">
        <v>1</v>
      </c>
      <c r="J3" s="9">
        <v>1</v>
      </c>
      <c r="K3" s="9">
        <v>1</v>
      </c>
      <c r="L3" s="9">
        <v>1</v>
      </c>
      <c r="M3" s="9">
        <v>1</v>
      </c>
      <c r="N3" s="9"/>
      <c r="O3" s="9"/>
      <c r="P3" s="9"/>
      <c r="Q3" s="9"/>
      <c r="R3" s="15">
        <f t="shared" si="0"/>
        <v>7</v>
      </c>
    </row>
    <row r="4" spans="1:18" ht="27" x14ac:dyDescent="0.25">
      <c r="A4" s="9"/>
      <c r="B4" s="10">
        <v>3</v>
      </c>
      <c r="C4" s="11">
        <v>14111519</v>
      </c>
      <c r="D4" s="12" t="s">
        <v>190</v>
      </c>
      <c r="E4" s="13">
        <v>8</v>
      </c>
      <c r="F4" s="14">
        <v>25</v>
      </c>
      <c r="G4" s="9">
        <v>4</v>
      </c>
      <c r="H4" s="9">
        <v>4</v>
      </c>
      <c r="I4" s="9">
        <v>4</v>
      </c>
      <c r="J4" s="9">
        <v>4</v>
      </c>
      <c r="K4" s="9">
        <v>4</v>
      </c>
      <c r="L4" s="9">
        <v>3</v>
      </c>
      <c r="M4" s="9">
        <v>2</v>
      </c>
      <c r="N4" s="9"/>
      <c r="O4" s="9"/>
      <c r="P4" s="9"/>
      <c r="Q4" s="9"/>
      <c r="R4" s="15">
        <f t="shared" si="0"/>
        <v>25</v>
      </c>
    </row>
    <row r="5" spans="1:18" ht="40.5" x14ac:dyDescent="0.25">
      <c r="A5" s="9"/>
      <c r="B5" s="10">
        <v>4</v>
      </c>
      <c r="C5" s="11">
        <v>42312009</v>
      </c>
      <c r="D5" s="12" t="s">
        <v>176</v>
      </c>
      <c r="E5" s="13">
        <v>17</v>
      </c>
      <c r="F5" s="14">
        <v>2</v>
      </c>
      <c r="G5" s="9">
        <v>1</v>
      </c>
      <c r="H5" s="9"/>
      <c r="I5" s="9"/>
      <c r="J5" s="9"/>
      <c r="K5" s="9"/>
      <c r="L5" s="9"/>
      <c r="M5" s="9">
        <v>1</v>
      </c>
      <c r="N5" s="9"/>
      <c r="O5" s="9"/>
      <c r="P5" s="9"/>
      <c r="Q5" s="9"/>
      <c r="R5" s="15">
        <f t="shared" si="0"/>
        <v>2</v>
      </c>
    </row>
    <row r="6" spans="1:18" ht="54" x14ac:dyDescent="0.25">
      <c r="A6" s="9"/>
      <c r="B6" s="10">
        <v>5</v>
      </c>
      <c r="C6" s="11">
        <v>44121708</v>
      </c>
      <c r="D6" s="12" t="s">
        <v>161</v>
      </c>
      <c r="E6" s="13">
        <v>9</v>
      </c>
      <c r="F6" s="14">
        <v>1</v>
      </c>
      <c r="G6" s="9"/>
      <c r="H6" s="9"/>
      <c r="I6" s="9">
        <v>1</v>
      </c>
      <c r="J6" s="9"/>
      <c r="K6" s="9"/>
      <c r="L6" s="9"/>
      <c r="M6" s="9"/>
      <c r="N6" s="9"/>
      <c r="O6" s="9"/>
      <c r="P6" s="9"/>
      <c r="Q6" s="9"/>
      <c r="R6" s="15">
        <f t="shared" si="0"/>
        <v>1</v>
      </c>
    </row>
    <row r="7" spans="1:18" ht="40.5" x14ac:dyDescent="0.25">
      <c r="A7" s="9"/>
      <c r="B7" s="10">
        <v>6</v>
      </c>
      <c r="C7" s="11">
        <v>44121708</v>
      </c>
      <c r="D7" s="12" t="s">
        <v>151</v>
      </c>
      <c r="E7" s="13">
        <v>13</v>
      </c>
      <c r="F7" s="14">
        <v>3</v>
      </c>
      <c r="G7" s="9">
        <v>1</v>
      </c>
      <c r="H7" s="9"/>
      <c r="I7" s="9"/>
      <c r="J7" s="9"/>
      <c r="K7" s="9"/>
      <c r="L7" s="9">
        <v>1</v>
      </c>
      <c r="M7" s="9">
        <v>1</v>
      </c>
      <c r="N7" s="9"/>
      <c r="O7" s="9"/>
      <c r="P7" s="9"/>
      <c r="Q7" s="9"/>
      <c r="R7" s="15">
        <f t="shared" si="0"/>
        <v>3</v>
      </c>
    </row>
    <row r="8" spans="1:18" ht="40.5" x14ac:dyDescent="0.25">
      <c r="A8" s="9"/>
      <c r="B8" s="10">
        <v>7</v>
      </c>
      <c r="C8" s="11">
        <v>44121708</v>
      </c>
      <c r="D8" s="12" t="s">
        <v>149</v>
      </c>
      <c r="E8" s="13">
        <v>12</v>
      </c>
      <c r="F8" s="14">
        <v>2</v>
      </c>
      <c r="G8" s="9"/>
      <c r="H8" s="9">
        <v>1</v>
      </c>
      <c r="I8" s="9">
        <v>1</v>
      </c>
      <c r="J8" s="9"/>
      <c r="K8" s="9"/>
      <c r="L8" s="9"/>
      <c r="M8" s="9"/>
      <c r="N8" s="9"/>
      <c r="O8" s="9"/>
      <c r="P8" s="9"/>
      <c r="Q8" s="9"/>
      <c r="R8" s="15">
        <f t="shared" si="0"/>
        <v>2</v>
      </c>
    </row>
    <row r="9" spans="1:18" ht="27" x14ac:dyDescent="0.25">
      <c r="A9" s="9"/>
      <c r="B9" s="10">
        <v>8</v>
      </c>
      <c r="C9" s="11">
        <v>14111506</v>
      </c>
      <c r="D9" s="12" t="s">
        <v>241</v>
      </c>
      <c r="E9" s="13">
        <v>13</v>
      </c>
      <c r="F9" s="14">
        <v>3</v>
      </c>
      <c r="G9" s="9">
        <v>1</v>
      </c>
      <c r="H9" s="9"/>
      <c r="I9" s="9"/>
      <c r="J9" s="9"/>
      <c r="K9" s="9">
        <v>1</v>
      </c>
      <c r="L9" s="9"/>
      <c r="M9" s="9">
        <v>1</v>
      </c>
      <c r="N9" s="9"/>
      <c r="O9" s="9"/>
      <c r="P9" s="9"/>
      <c r="Q9" s="9"/>
      <c r="R9" s="15">
        <f t="shared" si="0"/>
        <v>3</v>
      </c>
    </row>
    <row r="10" spans="1:18" x14ac:dyDescent="0.25">
      <c r="A10" s="9"/>
      <c r="B10" s="10">
        <v>9</v>
      </c>
      <c r="C10" s="16">
        <v>60124504</v>
      </c>
      <c r="D10" s="17" t="s">
        <v>242</v>
      </c>
      <c r="E10" s="13">
        <v>4</v>
      </c>
      <c r="F10" s="18">
        <v>4</v>
      </c>
      <c r="G10" s="9"/>
      <c r="H10" s="9"/>
      <c r="I10" s="9"/>
      <c r="J10" s="9"/>
      <c r="K10" s="9"/>
      <c r="L10" s="9"/>
      <c r="M10" s="9"/>
      <c r="N10" s="9">
        <v>1</v>
      </c>
      <c r="O10" s="9">
        <v>1</v>
      </c>
      <c r="P10" s="9">
        <v>1</v>
      </c>
      <c r="Q10" s="9">
        <v>1</v>
      </c>
      <c r="R10" s="15">
        <f t="shared" si="0"/>
        <v>4</v>
      </c>
    </row>
    <row r="11" spans="1:18" x14ac:dyDescent="0.25">
      <c r="A11" s="9"/>
      <c r="B11" s="10">
        <v>10</v>
      </c>
      <c r="C11" s="11">
        <v>14111821</v>
      </c>
      <c r="D11" s="12" t="s">
        <v>74</v>
      </c>
      <c r="E11" s="13">
        <v>1</v>
      </c>
      <c r="F11" s="14">
        <v>1</v>
      </c>
      <c r="G11" s="9"/>
      <c r="H11" s="9"/>
      <c r="I11" s="9"/>
      <c r="J11" s="9">
        <v>1</v>
      </c>
      <c r="K11" s="9"/>
      <c r="L11" s="9"/>
      <c r="M11" s="9"/>
      <c r="N11" s="9"/>
      <c r="O11" s="9"/>
      <c r="P11" s="9"/>
      <c r="Q11" s="9"/>
      <c r="R11" s="15">
        <f t="shared" si="0"/>
        <v>1</v>
      </c>
    </row>
    <row r="12" spans="1:18" x14ac:dyDescent="0.25">
      <c r="A12" s="9"/>
      <c r="B12" s="10">
        <v>11</v>
      </c>
      <c r="C12" s="11">
        <v>14111808</v>
      </c>
      <c r="D12" s="12" t="s">
        <v>243</v>
      </c>
      <c r="E12" s="13">
        <v>1</v>
      </c>
      <c r="F12" s="14">
        <v>1</v>
      </c>
      <c r="G12" s="9"/>
      <c r="H12" s="9"/>
      <c r="I12" s="9"/>
      <c r="J12" s="9"/>
      <c r="K12" s="9">
        <v>1</v>
      </c>
      <c r="L12" s="9"/>
      <c r="M12" s="9"/>
      <c r="N12" s="9"/>
      <c r="O12" s="9"/>
      <c r="P12" s="9"/>
      <c r="Q12" s="9"/>
      <c r="R12" s="15">
        <f t="shared" si="0"/>
        <v>1</v>
      </c>
    </row>
    <row r="13" spans="1:18" ht="27" x14ac:dyDescent="0.25">
      <c r="A13" s="9"/>
      <c r="B13" s="10">
        <v>12</v>
      </c>
      <c r="C13" s="11">
        <v>14111810</v>
      </c>
      <c r="D13" s="12" t="s">
        <v>70</v>
      </c>
      <c r="E13" s="13">
        <v>3</v>
      </c>
      <c r="F13" s="14">
        <v>3</v>
      </c>
      <c r="G13" s="9">
        <v>1</v>
      </c>
      <c r="H13" s="9">
        <v>1</v>
      </c>
      <c r="I13" s="9">
        <v>1</v>
      </c>
      <c r="J13" s="9"/>
      <c r="K13" s="9"/>
      <c r="L13" s="9"/>
      <c r="M13" s="9"/>
      <c r="N13" s="9"/>
      <c r="O13" s="9"/>
      <c r="P13" s="9"/>
      <c r="Q13" s="9"/>
      <c r="R13" s="15">
        <f t="shared" si="0"/>
        <v>3</v>
      </c>
    </row>
    <row r="14" spans="1:18" x14ac:dyDescent="0.25">
      <c r="A14" s="9"/>
      <c r="B14" s="10">
        <v>13</v>
      </c>
      <c r="C14" s="11">
        <v>14111810</v>
      </c>
      <c r="D14" s="12" t="s">
        <v>68</v>
      </c>
      <c r="E14" s="13">
        <v>2</v>
      </c>
      <c r="F14" s="14">
        <v>2</v>
      </c>
      <c r="G14" s="9">
        <v>1</v>
      </c>
      <c r="H14" s="9"/>
      <c r="I14" s="9">
        <v>1</v>
      </c>
      <c r="J14" s="9"/>
      <c r="K14" s="9"/>
      <c r="L14" s="9"/>
      <c r="M14" s="9"/>
      <c r="N14" s="9"/>
      <c r="O14" s="9"/>
      <c r="P14" s="9"/>
      <c r="Q14" s="9"/>
      <c r="R14" s="15">
        <f t="shared" si="0"/>
        <v>2</v>
      </c>
    </row>
    <row r="15" spans="1:18" ht="27" x14ac:dyDescent="0.25">
      <c r="A15" s="9"/>
      <c r="B15" s="10">
        <v>14</v>
      </c>
      <c r="C15" s="11">
        <v>14111810</v>
      </c>
      <c r="D15" s="12" t="s">
        <v>244</v>
      </c>
      <c r="E15" s="13">
        <v>3</v>
      </c>
      <c r="F15" s="14">
        <v>3</v>
      </c>
      <c r="G15" s="9">
        <v>1</v>
      </c>
      <c r="H15" s="9">
        <v>1</v>
      </c>
      <c r="I15" s="9">
        <v>1</v>
      </c>
      <c r="J15" s="9"/>
      <c r="K15" s="9"/>
      <c r="L15" s="9"/>
      <c r="M15" s="9"/>
      <c r="N15" s="9"/>
      <c r="O15" s="9"/>
      <c r="P15" s="9"/>
      <c r="Q15" s="9"/>
      <c r="R15" s="15">
        <f t="shared" si="0"/>
        <v>3</v>
      </c>
    </row>
    <row r="16" spans="1:18" x14ac:dyDescent="0.25">
      <c r="A16" s="9"/>
      <c r="B16" s="10">
        <v>15</v>
      </c>
      <c r="C16" s="11">
        <v>60105306</v>
      </c>
      <c r="D16" s="12" t="s">
        <v>65</v>
      </c>
      <c r="E16" s="13">
        <v>7</v>
      </c>
      <c r="F16" s="14">
        <v>7</v>
      </c>
      <c r="G16" s="9">
        <v>1</v>
      </c>
      <c r="H16" s="9">
        <v>1</v>
      </c>
      <c r="I16" s="9">
        <v>1</v>
      </c>
      <c r="J16" s="9"/>
      <c r="K16" s="9"/>
      <c r="L16" s="9"/>
      <c r="M16" s="9">
        <v>4</v>
      </c>
      <c r="N16" s="9"/>
      <c r="O16" s="9"/>
      <c r="P16" s="9"/>
      <c r="Q16" s="9"/>
      <c r="R16" s="15">
        <f t="shared" si="0"/>
        <v>7</v>
      </c>
    </row>
    <row r="17" spans="1:18" x14ac:dyDescent="0.25">
      <c r="A17" s="9"/>
      <c r="B17" s="10">
        <v>16</v>
      </c>
      <c r="C17" s="11">
        <v>14111804</v>
      </c>
      <c r="D17" s="12" t="s">
        <v>63</v>
      </c>
      <c r="E17" s="13">
        <v>4</v>
      </c>
      <c r="F17" s="14">
        <v>4</v>
      </c>
      <c r="G17" s="9"/>
      <c r="H17" s="9"/>
      <c r="I17" s="9"/>
      <c r="J17" s="9">
        <v>2</v>
      </c>
      <c r="K17" s="9">
        <v>1</v>
      </c>
      <c r="L17" s="9">
        <v>1</v>
      </c>
      <c r="M17" s="9"/>
      <c r="N17" s="9"/>
      <c r="O17" s="9"/>
      <c r="P17" s="9"/>
      <c r="Q17" s="9"/>
      <c r="R17" s="15">
        <f t="shared" si="0"/>
        <v>4</v>
      </c>
    </row>
    <row r="18" spans="1:18" ht="27" x14ac:dyDescent="0.25">
      <c r="A18" s="9"/>
      <c r="B18" s="10">
        <v>17</v>
      </c>
      <c r="C18" s="11">
        <v>44121701</v>
      </c>
      <c r="D18" s="12" t="s">
        <v>59</v>
      </c>
      <c r="E18" s="13">
        <v>5</v>
      </c>
      <c r="F18" s="14">
        <v>5</v>
      </c>
      <c r="G18" s="9">
        <v>1</v>
      </c>
      <c r="H18" s="9">
        <v>1</v>
      </c>
      <c r="I18" s="9"/>
      <c r="J18" s="9">
        <v>1</v>
      </c>
      <c r="K18" s="9">
        <v>1</v>
      </c>
      <c r="L18" s="9"/>
      <c r="M18" s="9">
        <v>1</v>
      </c>
      <c r="N18" s="9"/>
      <c r="O18" s="9"/>
      <c r="P18" s="9"/>
      <c r="Q18" s="9"/>
      <c r="R18" s="15">
        <f t="shared" si="0"/>
        <v>5</v>
      </c>
    </row>
    <row r="19" spans="1:18" x14ac:dyDescent="0.25">
      <c r="B19" s="19"/>
      <c r="C19" s="20"/>
      <c r="D19" s="21"/>
      <c r="E19" s="22">
        <f>SUM(E2:E18)</f>
        <v>209</v>
      </c>
      <c r="F19" s="22">
        <f>SUM(F2:F18)</f>
        <v>81</v>
      </c>
      <c r="G19" s="20"/>
      <c r="H19" s="20"/>
      <c r="I19" s="20"/>
      <c r="J19" s="20"/>
      <c r="K19" s="20"/>
      <c r="L19" s="20"/>
      <c r="M19" s="20"/>
      <c r="N19" s="23"/>
      <c r="O19" s="23"/>
      <c r="P19" s="23"/>
      <c r="Q19" s="23"/>
      <c r="R19" s="24">
        <f>SUM(R2:R18)</f>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vt:lpstr>
      <vt:lpstr>Articulacion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Jhon Faiber Cerquera Sanchez</cp:lastModifiedBy>
  <cp:revision/>
  <dcterms:created xsi:type="dcterms:W3CDTF">2026-07-29T20:49:55Z</dcterms:created>
  <dcterms:modified xsi:type="dcterms:W3CDTF">2026-10-25T05:01:32Z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2026-07-29T20:50:43Z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ee687da5-3457-42eb-8d96-102e697f526a</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